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指示書期限管理" sheetId="2" state="visible" r:id="rId4"/>
    <sheet name="上限額管理表" sheetId="3" state="visible" r:id="rId5"/>
    <sheet name="提供表・ケアプラン突合" sheetId="4" state="visible" r:id="rId6"/>
    <sheet name="アラートまとめ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<sst xmlns="http://schemas.openxmlformats.org/spreadsheetml/2006/main" count="99" uniqueCount="89">
  <si>
    <t xml:space="preserve">訪問看護 指示書・提供表 突合管理表</t>
  </si>
  <si>
    <t xml:space="preserve">訪問看護ステーション デイジー読谷</t>
  </si>
  <si>
    <t xml:space="preserve">対象シート</t>
  </si>
  <si>
    <t xml:space="preserve">内容</t>
  </si>
  <si>
    <t xml:space="preserve">① 指示書期限管理</t>
  </si>
  <si>
    <t xml:space="preserve">訪問看護指示書・精神科訪問看護指示書・特別訪問看護指示書の有効期間を一元管理し、更新時期を自動判定します。</t>
  </si>
  <si>
    <t xml:space="preserve">② 上限額管理表</t>
  </si>
  <si>
    <t xml:space="preserve">区分支給限度基準額（介護保険）に対する各事業所の給付実績を集計し、超過の有無を自動判定します。</t>
  </si>
  <si>
    <t xml:space="preserve">③ 提供表・ケアプラン突合</t>
  </si>
  <si>
    <t xml:space="preserve">月次で、ケアプランへの位置付け・サービス提供票受領・実績件数の差異をチェックします。</t>
  </si>
  <si>
    <t xml:space="preserve">入力ルール</t>
  </si>
  <si>
    <t xml:space="preserve">黄色セル</t>
  </si>
  <si>
    <t xml:space="preserve">手入力する項目です（日付・氏名・件数など）。</t>
  </si>
  <si>
    <t xml:space="preserve">白色セル（数式）</t>
  </si>
  <si>
    <t xml:space="preserve">自動計算されるため編集しないでください。</t>
  </si>
  <si>
    <t xml:space="preserve">残り日数・ステータス・判定列</t>
  </si>
  <si>
    <t xml:space="preserve">本日の日付（PC/表計算ソフトの現在日時）を基準に自動更新されます。</t>
  </si>
  <si>
    <t xml:space="preserve">プルダウン列</t>
  </si>
  <si>
    <t xml:space="preserve">セルをクリックすると選択肢が表示されます。</t>
  </si>
  <si>
    <t xml:space="preserve">各シートの1行目はサンプル行です。内容を確認のうえ、ご自身のデータに置き換えるか、下に行を追加してください。</t>
  </si>
  <si>
    <t xml:space="preserve">① 指示書 期限管理表</t>
  </si>
  <si>
    <t xml:space="preserve">指示期間の終了日を基準に、更新時期を自動判定します。黄色セルのみ入力してください。</t>
  </si>
  <si>
    <t xml:space="preserve">利用者名</t>
  </si>
  <si>
    <t xml:space="preserve">指示書種類</t>
  </si>
  <si>
    <t xml:space="preserve">交付日</t>
  </si>
  <si>
    <t xml:space="preserve">開始日</t>
  </si>
  <si>
    <t xml:space="preserve">終了日</t>
  </si>
  <si>
    <t xml:space="preserve">残り日数</t>
  </si>
  <si>
    <t xml:space="preserve">ステータス</t>
  </si>
  <si>
    <t xml:space="preserve">次回依頼目安日</t>
  </si>
  <si>
    <t xml:space="preserve">依頼送付日</t>
  </si>
  <si>
    <t xml:space="preserve">受領日</t>
  </si>
  <si>
    <t xml:space="preserve">備考</t>
  </si>
  <si>
    <t xml:space="preserve">保険種別</t>
  </si>
  <si>
    <t xml:space="preserve">上限額対象</t>
  </si>
  <si>
    <t xml:space="preserve">山田花子（サンプル）</t>
  </si>
  <si>
    <t xml:space="preserve">訪問看護指示書</t>
  </si>
  <si>
    <t xml:space="preserve">2026-07-01</t>
  </si>
  <si>
    <t xml:space="preserve">2026-08-01</t>
  </si>
  <si>
    <t xml:space="preserve">2027-01-31</t>
  </si>
  <si>
    <t xml:space="preserve">2026-07-05</t>
  </si>
  <si>
    <t xml:space="preserve">2026-07-20</t>
  </si>
  <si>
    <t xml:space="preserve">継続依頼予定</t>
  </si>
  <si>
    <t xml:space="preserve">大城秀雄</t>
  </si>
  <si>
    <t xml:space="preserve">佐久川道子</t>
  </si>
  <si>
    <t xml:space="preserve">② 上限管理表</t>
  </si>
  <si>
    <t xml:space="preserve">自事業所が上限管理事業者になっている利用者について、他事業所分も含めた給付単位数を集計します。</t>
  </si>
  <si>
    <t xml:space="preserve">対象年月</t>
  </si>
  <si>
    <t xml:space="preserve">実際の年月</t>
  </si>
  <si>
    <t xml:space="preserve">地域単価（円/単位）</t>
  </si>
  <si>
    <t xml:space="preserve">指定難病上限額</t>
  </si>
  <si>
    <t xml:space="preserve">自立支援医療上限額</t>
  </si>
  <si>
    <t xml:space="preserve">訪問看護
医療費総額</t>
  </si>
  <si>
    <t xml:space="preserve">他事業所①</t>
  </si>
  <si>
    <t xml:space="preserve">自己負担額①</t>
  </si>
  <si>
    <t xml:space="preserve">他事業所②</t>
  </si>
  <si>
    <t xml:space="preserve">自己負担額②</t>
  </si>
  <si>
    <t xml:space="preserve">他事業所③</t>
  </si>
  <si>
    <t xml:space="preserve">自己負担額③</t>
  </si>
  <si>
    <t xml:space="preserve">訪問看護
自己負担額</t>
  </si>
  <si>
    <t xml:space="preserve">自己負担の合計</t>
  </si>
  <si>
    <t xml:space="preserve">限度額との差</t>
  </si>
  <si>
    <t xml:space="preserve">判定</t>
  </si>
  <si>
    <t xml:space="preserve">デイサービスひまわり</t>
  </si>
  <si>
    <t xml:space="preserve">福祉用具レンタル○○</t>
  </si>
  <si>
    <t xml:space="preserve">③ サービス提供票・ケアプラン 突合チェック（月次）</t>
  </si>
  <si>
    <t xml:space="preserve">ケアプランへの位置付けと提供票の受領有無、ケアプラン目標期限を確認します（件数入力は不要です）。</t>
  </si>
  <si>
    <t xml:space="preserve">ケアプランに
訪問看護明記</t>
  </si>
  <si>
    <t xml:space="preserve">提供票
受領日</t>
  </si>
  <si>
    <t xml:space="preserve">対応状況</t>
  </si>
  <si>
    <t xml:space="preserve">確認者</t>
  </si>
  <si>
    <t xml:space="preserve">確認日</t>
  </si>
  <si>
    <t xml:space="preserve">ケアプラン
短期目標期限</t>
  </si>
  <si>
    <t xml:space="preserve">ケアプラン
長期目標期限</t>
  </si>
  <si>
    <t xml:space="preserve">2026-08</t>
  </si>
  <si>
    <t xml:space="preserve">○</t>
  </si>
  <si>
    <t xml:space="preserve">2026-07-25</t>
  </si>
  <si>
    <t xml:space="preserve">解消済</t>
  </si>
  <si>
    <t xml:space="preserve">比嘉</t>
  </si>
  <si>
    <t xml:space="preserve">2026-08-05</t>
  </si>
  <si>
    <t xml:space="preserve">2026-08-06</t>
  </si>
  <si>
    <t xml:space="preserve">2026-08-07</t>
  </si>
  <si>
    <t xml:space="preserve">総合アラートダッシュボード</t>
  </si>
  <si>
    <t xml:space="preserve">各書類の不備や期限切れなどのアラート状況を一覧で確認できます。</t>
  </si>
  <si>
    <t xml:space="preserve">指示書ステータス</t>
  </si>
  <si>
    <t xml:space="preserve">上限額超過</t>
  </si>
  <si>
    <t xml:space="preserve">提供票未受領</t>
  </si>
  <si>
    <t xml:space="preserve">ケアプラン短期目標</t>
  </si>
  <si>
    <t xml:space="preserve">ケアプラン長期目標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</si>
</sst>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&quot;さま&quot;"/>
    <numFmt numFmtId="166" formatCode="yyyy/mm/dd"/>
    <numFmt numFmtId="167" formatCode="General"/>
    <numFmt numFmtId="168" formatCode="yyyy\-mm\-dd"/>
    <numFmt numFmtId="169" formatCode="yyyy\年mm\月"/>
    <numFmt numFmtId="170" formatCode="\¥#,##0"/>
    <numFmt numFmtId="171" formatCode="#,##0"/>
    <numFmt numFmtId="172" formatCode="yyyy/mm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Noto Sans CJK SC"/>
      <family val="2"/>
      <charset val="1"/>
    </font>
    <font>
      <sz val="11"/>
      <color rgb="FF5B6B63"/>
      <name val="Noto Sans CJK SC"/>
      <family val="2"/>
      <charset val="1"/>
    </font>
    <font>
      <b val="true"/>
      <sz val="10"/>
      <color theme="1"/>
      <name val="Noto Sans CJK SC"/>
      <family val="2"/>
      <charset val="1"/>
    </font>
    <font>
      <sz val="10"/>
      <color theme="1"/>
      <name val="Noto Sans CJK SC"/>
      <family val="2"/>
      <charset val="1"/>
    </font>
    <font>
      <b val="true"/>
      <sz val="12"/>
      <color rgb="FF1F3864"/>
      <name val="Noto Sans CJK SC"/>
      <family val="2"/>
      <charset val="1"/>
    </font>
    <font>
      <i val="true"/>
      <sz val="10"/>
      <color rgb="FF7A5B12"/>
      <name val="Noto Sans CJK SC"/>
      <family val="2"/>
      <charset val="1"/>
    </font>
    <font>
      <b val="true"/>
      <sz val="16"/>
      <color rgb="FF1F3864"/>
      <name val="Noto Sans CJK SC"/>
      <family val="2"/>
      <charset val="1"/>
    </font>
    <font>
      <i val="true"/>
      <sz val="10"/>
      <color rgb="FF5B6B63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4"/>
      <color theme="1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F7F2E7"/>
      </patternFill>
    </fill>
    <fill>
      <patternFill patternType="solid">
        <fgColor rgb="FFFFF2CC"/>
        <bgColor rgb="FFFCEFD3"/>
      </patternFill>
    </fill>
    <fill>
      <patternFill patternType="solid">
        <fgColor rgb="FF1F3864"/>
        <bgColor rgb="FF1C396E"/>
      </patternFill>
    </fill>
    <fill>
      <patternFill patternType="solid">
        <fgColor rgb="FFF7F2E7"/>
        <bgColor rgb="FFEFEFEF"/>
      </patternFill>
    </fill>
    <fill>
      <patternFill patternType="solid">
        <fgColor rgb="FF1C396E"/>
        <bgColor rgb="FF1F386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4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F0000"/>
        </patternFill>
      </fill>
    </dxf>
    <dxf>
      <font>
        <b val="1"/>
        <color rgb="FF8A1F1F"/>
      </font>
      <fill>
        <patternFill>
          <bgColor rgb="FFF6C6C6"/>
        </patternFill>
      </fill>
    </dxf>
    <dxf>
      <font>
        <b val="1"/>
        <color rgb="FFB97C1B"/>
      </font>
      <fill>
        <patternFill>
          <bgColor rgb="FFFCEFD3"/>
        </patternFill>
      </fill>
    </dxf>
    <dxf>
      <font>
        <color rgb="FF4F6A43"/>
      </font>
      <fill>
        <patternFill>
          <bgColor rgb="FFE4F0DE"/>
        </patternFill>
      </fill>
    </dxf>
    <dxf>
      <fill>
        <patternFill>
          <bgColor rgb="FFFFCCCC"/>
        </patternFill>
      </fill>
    </dxf>
    <dxf>
      <font>
        <color rgb="FFB20000"/>
      </font>
      <fill>
        <patternFill>
          <bgColor rgb="FFF4CCCC"/>
        </patternFill>
      </fill>
    </dxf>
    <dxf>
      <font>
        <color rgb="FF757575"/>
      </font>
      <fill>
        <patternFill>
          <bgColor rgb="FFE0E0E0"/>
        </patternFill>
      </fill>
    </dxf>
    <dxf>
      <font>
        <color rgb="FF757575"/>
      </font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20000"/>
      <rgbColor rgb="FF008000"/>
      <rgbColor rgb="FF000080"/>
      <rgbColor rgb="FF7A5B12"/>
      <rgbColor rgb="FF800080"/>
      <rgbColor rgb="FF008080"/>
      <rgbColor rgb="FFBFBFBF"/>
      <rgbColor rgb="FF757575"/>
      <rgbColor rgb="FF9999FF"/>
      <rgbColor rgb="FF993366"/>
      <rgbColor rgb="FFFFF2CC"/>
      <rgbColor rgb="FFEFEFE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2E7"/>
      <rgbColor rgb="FFE4F0DE"/>
      <rgbColor rgb="FFFCEFD3"/>
      <rgbColor rgb="FF99CCFF"/>
      <rgbColor rgb="FFFFCCCC"/>
      <rgbColor rgb="FFF4CCCC"/>
      <rgbColor rgb="FFF6C6C6"/>
      <rgbColor rgb="FF3366FF"/>
      <rgbColor rgb="FF33CCCC"/>
      <rgbColor rgb="FF99CC00"/>
      <rgbColor rgb="FFFFCC00"/>
      <rgbColor rgb="FFFF9900"/>
      <rgbColor rgb="FFB97C1B"/>
      <rgbColor rgb="FF5B6B63"/>
      <rgbColor rgb="FF969696"/>
      <rgbColor rgb="FF1C396E"/>
      <rgbColor rgb="FF4F6A43"/>
      <rgbColor rgb="FF003300"/>
      <rgbColor rgb="FF333300"/>
      <rgbColor rgb="FF8A1F1F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70"/>
    <col collapsed="false" customWidth="true" hidden="false" outlineLevel="0" max="26" min="4" style="1" width="8.71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31.5" hidden="false" customHeight="true" outlineLevel="0" collapsed="false">
      <c r="B5" s="4" t="s">
        <v>2</v>
      </c>
      <c r="C5" s="5" t="s">
        <v>3</v>
      </c>
    </row>
    <row r="6" customFormat="false" ht="31.5" hidden="false" customHeight="true" outlineLevel="0" collapsed="false">
      <c r="B6" s="4" t="s">
        <v>4</v>
      </c>
      <c r="C6" s="5" t="s">
        <v>5</v>
      </c>
    </row>
    <row r="7" customFormat="false" ht="31.5" hidden="false" customHeight="true" outlineLevel="0" collapsed="false">
      <c r="B7" s="4" t="s">
        <v>6</v>
      </c>
      <c r="C7" s="5" t="s">
        <v>7</v>
      </c>
    </row>
    <row r="8" customFormat="false" ht="31.5" hidden="false" customHeight="true" outlineLevel="0" collapsed="false">
      <c r="B8" s="4" t="s">
        <v>8</v>
      </c>
      <c r="C8" s="5" t="s">
        <v>9</v>
      </c>
    </row>
    <row r="10" customFormat="false" ht="31.5" hidden="false" customHeight="true" outlineLevel="0" collapsed="false">
      <c r="B10" s="6" t="s">
        <v>10</v>
      </c>
      <c r="C10" s="7"/>
    </row>
    <row r="11" customFormat="false" ht="27.75" hidden="false" customHeight="true" outlineLevel="0" collapsed="false">
      <c r="B11" s="8" t="s">
        <v>11</v>
      </c>
      <c r="C11" s="9" t="s">
        <v>12</v>
      </c>
    </row>
    <row r="12" customFormat="false" ht="27.75" hidden="false" customHeight="true" outlineLevel="0" collapsed="false">
      <c r="B12" s="4" t="s">
        <v>13</v>
      </c>
      <c r="C12" s="5" t="s">
        <v>14</v>
      </c>
    </row>
    <row r="13" customFormat="false" ht="27.75" hidden="false" customHeight="true" outlineLevel="0" collapsed="false">
      <c r="B13" s="4" t="s">
        <v>15</v>
      </c>
      <c r="C13" s="5" t="s">
        <v>16</v>
      </c>
    </row>
    <row r="14" customFormat="false" ht="27.75" hidden="false" customHeight="true" outlineLevel="0" collapsed="false">
      <c r="B14" s="4" t="s">
        <v>17</v>
      </c>
      <c r="C14" s="5" t="s">
        <v>18</v>
      </c>
    </row>
    <row r="16" customFormat="false" ht="30" hidden="false" customHeight="true" outlineLevel="0" collapsed="false">
      <c r="B16" s="10" t="s">
        <v>19</v>
      </c>
      <c r="C16" s="1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6:C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20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22"/>
    <col collapsed="false" customWidth="true" hidden="false" outlineLevel="0" max="26" min="12" style="1" width="14"/>
  </cols>
  <sheetData>
    <row r="1" customFormat="false" ht="25.5" hidden="false" customHeight="true" outlineLevel="0" collapsed="false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</row>
    <row r="2" customFormat="false" ht="18" hidden="false" customHeight="true" outlineLevel="0" collapsed="false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2"/>
      <c r="M2" s="12"/>
      <c r="N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31.5" hidden="false" customHeight="true" outlineLevel="0" collapsed="false">
      <c r="A4" s="14" t="s">
        <v>22</v>
      </c>
      <c r="B4" s="14" t="s">
        <v>23</v>
      </c>
      <c r="C4" s="14" t="s">
        <v>24</v>
      </c>
      <c r="D4" s="14" t="s">
        <v>25</v>
      </c>
      <c r="E4" s="14" t="s">
        <v>26</v>
      </c>
      <c r="F4" s="14" t="s">
        <v>27</v>
      </c>
      <c r="G4" s="14" t="s">
        <v>28</v>
      </c>
      <c r="H4" s="14" t="s">
        <v>29</v>
      </c>
      <c r="I4" s="14" t="s">
        <v>30</v>
      </c>
      <c r="J4" s="14" t="s">
        <v>31</v>
      </c>
      <c r="K4" s="14" t="s">
        <v>32</v>
      </c>
      <c r="L4" s="14" t="s">
        <v>33</v>
      </c>
      <c r="M4" s="14" t="s">
        <v>34</v>
      </c>
      <c r="N4" s="12"/>
    </row>
    <row r="5" customFormat="false" ht="29.25" hidden="false" customHeight="true" outlineLevel="0" collapsed="false">
      <c r="A5" s="15" t="s">
        <v>35</v>
      </c>
      <c r="B5" s="16" t="s">
        <v>36</v>
      </c>
      <c r="C5" s="17" t="s">
        <v>37</v>
      </c>
      <c r="D5" s="17" t="s">
        <v>38</v>
      </c>
      <c r="E5" s="17" t="s">
        <v>39</v>
      </c>
      <c r="F5" s="18" t="n">
        <f aca="true">IF(E5="","",E5-TODAY())</f>
        <v>158</v>
      </c>
      <c r="G5" s="19" t="str">
        <f aca="false">IF(E5="","",IF(F5&lt;0,"期限切れ",IF(F5&lt;=30,"要更新(30日以内)",IF(F5&lt;=60,"依頼準備","有効"))))</f>
        <v>有効</v>
      </c>
      <c r="H5" s="20" t="n">
        <f aca="false">IF(E5="","",E5-45)</f>
        <v>46373</v>
      </c>
      <c r="I5" s="17" t="s">
        <v>40</v>
      </c>
      <c r="J5" s="17" t="s">
        <v>41</v>
      </c>
      <c r="K5" s="16" t="s">
        <v>42</v>
      </c>
      <c r="L5" s="21"/>
      <c r="M5" s="21"/>
      <c r="N5" s="12"/>
    </row>
    <row r="6" customFormat="false" ht="15" hidden="false" customHeight="true" outlineLevel="0" collapsed="false">
      <c r="A6" s="22" t="s">
        <v>43</v>
      </c>
      <c r="B6" s="23" t="s">
        <v>36</v>
      </c>
      <c r="C6" s="24" t="n">
        <v>46252</v>
      </c>
      <c r="D6" s="24" t="n">
        <v>46252</v>
      </c>
      <c r="E6" s="24" t="n">
        <v>46435</v>
      </c>
      <c r="F6" s="25" t="n">
        <f aca="true">IF(E6="","",E6-TODAY())</f>
        <v>175</v>
      </c>
      <c r="G6" s="26" t="str">
        <f aca="false">IF(E6="","",IF(F6&lt;0,"期限切れ",IF(F6&lt;=30,"要更新(30日以内)",IF(F6&lt;=60,"依頼準備","有効"))))</f>
        <v>有効</v>
      </c>
      <c r="H6" s="27" t="n">
        <f aca="false">IF(E6="","",E6-45)</f>
        <v>46390</v>
      </c>
      <c r="I6" s="24"/>
      <c r="J6" s="24"/>
      <c r="K6" s="23" t="s">
        <v>42</v>
      </c>
      <c r="L6" s="21"/>
      <c r="M6" s="21"/>
      <c r="N6" s="12"/>
    </row>
    <row r="7" customFormat="false" ht="15" hidden="false" customHeight="true" outlineLevel="0" collapsed="false">
      <c r="A7" s="22" t="s">
        <v>44</v>
      </c>
      <c r="B7" s="23" t="s">
        <v>36</v>
      </c>
      <c r="C7" s="24" t="n">
        <v>46255</v>
      </c>
      <c r="D7" s="24" t="n">
        <v>46255</v>
      </c>
      <c r="E7" s="24" t="n">
        <v>46265</v>
      </c>
      <c r="F7" s="18" t="n">
        <f aca="true">IF(E7="","",E7-TODAY())</f>
        <v>5</v>
      </c>
      <c r="G7" s="19" t="str">
        <f aca="false">IF(E7="","",IF(F7&lt;0,"期限切れ",IF(F7&lt;=30,"要更新(30日以内)",IF(F7&lt;=60,"依頼準備","有効"))))</f>
        <v>要更新(30日以内)</v>
      </c>
      <c r="H7" s="20" t="n">
        <f aca="false">IF(E7="","",E7-45)</f>
        <v>46220</v>
      </c>
      <c r="I7" s="24"/>
      <c r="J7" s="24"/>
      <c r="K7" s="23" t="s">
        <v>42</v>
      </c>
      <c r="L7" s="21"/>
      <c r="M7" s="21"/>
      <c r="N7" s="12"/>
    </row>
    <row r="8" customFormat="false" ht="15" hidden="false" customHeight="true" outlineLevel="0" collapsed="false">
      <c r="A8" s="22"/>
      <c r="B8" s="23"/>
      <c r="C8" s="24"/>
      <c r="D8" s="24"/>
      <c r="E8" s="24"/>
      <c r="F8" s="25" t="str">
        <f aca="true">IF(E8="","",E8-TODAY())</f>
        <v/>
      </c>
      <c r="G8" s="26" t="str">
        <f aca="false">IF(E8="","",IF(F8&lt;0,"期限切れ",IF(F8&lt;=30,"要更新(30日以内)",IF(F8&lt;=60,"依頼準備","有効"))))</f>
        <v/>
      </c>
      <c r="H8" s="27" t="str">
        <f aca="false">IF(E8="","",E8-45)</f>
        <v/>
      </c>
      <c r="I8" s="24"/>
      <c r="J8" s="24"/>
      <c r="K8" s="23"/>
      <c r="L8" s="21"/>
      <c r="M8" s="21"/>
      <c r="N8" s="12"/>
    </row>
    <row r="9" customFormat="false" ht="15" hidden="false" customHeight="true" outlineLevel="0" collapsed="false">
      <c r="A9" s="22"/>
      <c r="B9" s="23"/>
      <c r="C9" s="24"/>
      <c r="D9" s="24"/>
      <c r="E9" s="24"/>
      <c r="F9" s="18" t="str">
        <f aca="true">IF(E9="","",E9-TODAY())</f>
        <v/>
      </c>
      <c r="G9" s="19" t="str">
        <f aca="false">IF(E9="","",IF(F9&lt;0,"期限切れ",IF(F9&lt;=30,"要更新(30日以内)",IF(F9&lt;=60,"依頼準備","有効"))))</f>
        <v/>
      </c>
      <c r="H9" s="20" t="str">
        <f aca="false">IF(E9="","",E9-45)</f>
        <v/>
      </c>
      <c r="I9" s="24"/>
      <c r="J9" s="24"/>
      <c r="K9" s="23"/>
      <c r="L9" s="21"/>
      <c r="M9" s="21"/>
      <c r="N9" s="12"/>
    </row>
    <row r="10" customFormat="false" ht="15" hidden="false" customHeight="true" outlineLevel="0" collapsed="false">
      <c r="A10" s="22"/>
      <c r="B10" s="23"/>
      <c r="C10" s="24"/>
      <c r="D10" s="24"/>
      <c r="E10" s="24"/>
      <c r="F10" s="25" t="str">
        <f aca="true">IF(E10="","",E10-TODAY())</f>
        <v/>
      </c>
      <c r="G10" s="26" t="str">
        <f aca="false">IF(E10="","",IF(F10&lt;0,"期限切れ",IF(F10&lt;=30,"要更新(30日以内)",IF(F10&lt;=60,"依頼準備","有効"))))</f>
        <v/>
      </c>
      <c r="H10" s="27" t="str">
        <f aca="false">IF(E10="","",E10-45)</f>
        <v/>
      </c>
      <c r="I10" s="24"/>
      <c r="J10" s="24"/>
      <c r="K10" s="23"/>
      <c r="L10" s="21"/>
      <c r="M10" s="21"/>
      <c r="N10" s="12"/>
    </row>
    <row r="11" customFormat="false" ht="15" hidden="false" customHeight="true" outlineLevel="0" collapsed="false">
      <c r="A11" s="22"/>
      <c r="B11" s="23"/>
      <c r="C11" s="24"/>
      <c r="D11" s="24"/>
      <c r="E11" s="24"/>
      <c r="F11" s="18" t="str">
        <f aca="true">IF(E11="","",E11-TODAY())</f>
        <v/>
      </c>
      <c r="G11" s="19" t="str">
        <f aca="false">IF(E11="","",IF(F11&lt;0,"期限切れ",IF(F11&lt;=30,"要更新(30日以内)",IF(F11&lt;=60,"依頼準備","有効"))))</f>
        <v/>
      </c>
      <c r="H11" s="20" t="str">
        <f aca="false">IF(E11="","",E11-45)</f>
        <v/>
      </c>
      <c r="I11" s="24"/>
      <c r="J11" s="24"/>
      <c r="K11" s="23"/>
      <c r="L11" s="21"/>
      <c r="M11" s="21"/>
      <c r="N11" s="12"/>
    </row>
    <row r="12" customFormat="false" ht="15" hidden="false" customHeight="true" outlineLevel="0" collapsed="false">
      <c r="A12" s="22"/>
      <c r="B12" s="23"/>
      <c r="C12" s="24"/>
      <c r="D12" s="24"/>
      <c r="E12" s="24"/>
      <c r="F12" s="25" t="str">
        <f aca="true">IF(E12="","",E12-TODAY())</f>
        <v/>
      </c>
      <c r="G12" s="26" t="str">
        <f aca="false">IF(E12="","",IF(F12&lt;0,"期限切れ",IF(F12&lt;=30,"要更新(30日以内)",IF(F12&lt;=60,"依頼準備","有効"))))</f>
        <v/>
      </c>
      <c r="H12" s="27" t="str">
        <f aca="false">IF(E12="","",E12-45)</f>
        <v/>
      </c>
      <c r="I12" s="24"/>
      <c r="J12" s="24"/>
      <c r="K12" s="23"/>
      <c r="L12" s="21"/>
      <c r="M12" s="21"/>
      <c r="N12" s="12"/>
    </row>
    <row r="13" customFormat="false" ht="15" hidden="false" customHeight="true" outlineLevel="0" collapsed="false">
      <c r="A13" s="22"/>
      <c r="B13" s="23"/>
      <c r="C13" s="24"/>
      <c r="D13" s="24"/>
      <c r="E13" s="24"/>
      <c r="F13" s="18" t="str">
        <f aca="true">IF(E13="","",E13-TODAY())</f>
        <v/>
      </c>
      <c r="G13" s="19" t="str">
        <f aca="false">IF(E13="","",IF(F13&lt;0,"期限切れ",IF(F13&lt;=30,"要更新(30日以内)",IF(F13&lt;=60,"依頼準備","有効"))))</f>
        <v/>
      </c>
      <c r="H13" s="20" t="str">
        <f aca="false">IF(E13="","",E13-45)</f>
        <v/>
      </c>
      <c r="I13" s="24"/>
      <c r="J13" s="24"/>
      <c r="K13" s="23"/>
      <c r="L13" s="21"/>
      <c r="M13" s="21"/>
      <c r="N13" s="12"/>
    </row>
    <row r="14" customFormat="false" ht="15" hidden="false" customHeight="true" outlineLevel="0" collapsed="false">
      <c r="A14" s="22"/>
      <c r="B14" s="23"/>
      <c r="C14" s="24"/>
      <c r="D14" s="24"/>
      <c r="E14" s="24"/>
      <c r="F14" s="25" t="str">
        <f aca="true">IF(E14="","",E14-TODAY())</f>
        <v/>
      </c>
      <c r="G14" s="26" t="str">
        <f aca="false">IF(E14="","",IF(F14&lt;0,"期限切れ",IF(F14&lt;=30,"要更新(30日以内)",IF(F14&lt;=60,"依頼準備","有効"))))</f>
        <v/>
      </c>
      <c r="H14" s="27" t="str">
        <f aca="false">IF(E14="","",E14-45)</f>
        <v/>
      </c>
      <c r="I14" s="24"/>
      <c r="J14" s="24"/>
      <c r="K14" s="23"/>
      <c r="L14" s="21"/>
      <c r="M14" s="21"/>
      <c r="N14" s="12"/>
    </row>
    <row r="15" customFormat="false" ht="15" hidden="false" customHeight="true" outlineLevel="0" collapsed="false">
      <c r="A15" s="22"/>
      <c r="B15" s="23"/>
      <c r="C15" s="24"/>
      <c r="D15" s="24"/>
      <c r="E15" s="24"/>
      <c r="F15" s="18" t="str">
        <f aca="true">IF(E15="","",E15-TODAY())</f>
        <v/>
      </c>
      <c r="G15" s="19" t="str">
        <f aca="false">IF(E15="","",IF(F15&lt;0,"期限切れ",IF(F15&lt;=30,"要更新(30日以内)",IF(F15&lt;=60,"依頼準備","有効"))))</f>
        <v/>
      </c>
      <c r="H15" s="20" t="str">
        <f aca="false">IF(E15="","",E15-45)</f>
        <v/>
      </c>
      <c r="I15" s="24"/>
      <c r="J15" s="24"/>
      <c r="K15" s="23"/>
      <c r="L15" s="21"/>
      <c r="M15" s="21"/>
      <c r="N15" s="12"/>
    </row>
    <row r="16" customFormat="false" ht="15" hidden="false" customHeight="true" outlineLevel="0" collapsed="false">
      <c r="A16" s="22"/>
      <c r="B16" s="23"/>
      <c r="C16" s="24"/>
      <c r="D16" s="24"/>
      <c r="E16" s="24"/>
      <c r="F16" s="25" t="str">
        <f aca="true">IF(E16="","",E16-TODAY())</f>
        <v/>
      </c>
      <c r="G16" s="26" t="str">
        <f aca="false">IF(E16="","",IF(F16&lt;0,"期限切れ",IF(F16&lt;=30,"要更新(30日以内)",IF(F16&lt;=60,"依頼準備","有効"))))</f>
        <v/>
      </c>
      <c r="H16" s="27" t="str">
        <f aca="false">IF(E16="","",E16-45)</f>
        <v/>
      </c>
      <c r="I16" s="24"/>
      <c r="J16" s="24"/>
      <c r="K16" s="23"/>
      <c r="L16" s="21"/>
      <c r="M16" s="21"/>
      <c r="N16" s="12"/>
    </row>
    <row r="17" customFormat="false" ht="15" hidden="false" customHeight="true" outlineLevel="0" collapsed="false">
      <c r="A17" s="22"/>
      <c r="B17" s="23"/>
      <c r="C17" s="24"/>
      <c r="D17" s="24"/>
      <c r="E17" s="24"/>
      <c r="F17" s="18" t="str">
        <f aca="true">IF(E17="","",E17-TODAY())</f>
        <v/>
      </c>
      <c r="G17" s="19" t="str">
        <f aca="false">IF(E17="","",IF(F17&lt;0,"期限切れ",IF(F17&lt;=30,"要更新(30日以内)",IF(F17&lt;=60,"依頼準備","有効"))))</f>
        <v/>
      </c>
      <c r="H17" s="20" t="str">
        <f aca="false">IF(E17="","",E17-45)</f>
        <v/>
      </c>
      <c r="I17" s="24"/>
      <c r="J17" s="24"/>
      <c r="K17" s="23"/>
      <c r="L17" s="21"/>
      <c r="M17" s="21"/>
      <c r="N17" s="12"/>
    </row>
    <row r="18" customFormat="false" ht="15" hidden="false" customHeight="true" outlineLevel="0" collapsed="false">
      <c r="A18" s="22"/>
      <c r="B18" s="23"/>
      <c r="C18" s="24"/>
      <c r="D18" s="24"/>
      <c r="E18" s="24"/>
      <c r="F18" s="25" t="str">
        <f aca="true">IF(E18="","",E18-TODAY())</f>
        <v/>
      </c>
      <c r="G18" s="26" t="str">
        <f aca="false">IF(E18="","",IF(F18&lt;0,"期限切れ",IF(F18&lt;=30,"要更新(30日以内)",IF(F18&lt;=60,"依頼準備","有効"))))</f>
        <v/>
      </c>
      <c r="H18" s="27" t="str">
        <f aca="false">IF(E18="","",E18-45)</f>
        <v/>
      </c>
      <c r="I18" s="24"/>
      <c r="J18" s="24"/>
      <c r="K18" s="23"/>
      <c r="L18" s="21"/>
      <c r="M18" s="21"/>
      <c r="N18" s="12"/>
    </row>
    <row r="19" customFormat="false" ht="15" hidden="false" customHeight="true" outlineLevel="0" collapsed="false">
      <c r="A19" s="22"/>
      <c r="B19" s="23"/>
      <c r="C19" s="24"/>
      <c r="D19" s="24"/>
      <c r="E19" s="24"/>
      <c r="F19" s="18" t="str">
        <f aca="true">IF(E19="","",E19-TODAY())</f>
        <v/>
      </c>
      <c r="G19" s="19" t="str">
        <f aca="false">IF(E19="","",IF(F19&lt;0,"期限切れ",IF(F19&lt;=30,"要更新(30日以内)",IF(F19&lt;=60,"依頼準備","有効"))))</f>
        <v/>
      </c>
      <c r="H19" s="20" t="str">
        <f aca="false">IF(E19="","",E19-45)</f>
        <v/>
      </c>
      <c r="I19" s="24"/>
      <c r="J19" s="24"/>
      <c r="K19" s="23"/>
      <c r="L19" s="21"/>
      <c r="M19" s="21"/>
      <c r="N19" s="12"/>
    </row>
    <row r="20" customFormat="false" ht="15" hidden="false" customHeight="true" outlineLevel="0" collapsed="false">
      <c r="A20" s="22"/>
      <c r="B20" s="23"/>
      <c r="C20" s="24"/>
      <c r="D20" s="24"/>
      <c r="E20" s="24"/>
      <c r="F20" s="25" t="str">
        <f aca="true">IF(E20="","",E20-TODAY())</f>
        <v/>
      </c>
      <c r="G20" s="26" t="str">
        <f aca="false">IF(E20="","",IF(F20&lt;0,"期限切れ",IF(F20&lt;=30,"要更新(30日以内)",IF(F20&lt;=60,"依頼準備","有効"))))</f>
        <v/>
      </c>
      <c r="H20" s="27" t="str">
        <f aca="false">IF(E20="","",E20-45)</f>
        <v/>
      </c>
      <c r="I20" s="24"/>
      <c r="J20" s="24"/>
      <c r="K20" s="23"/>
      <c r="L20" s="21"/>
      <c r="M20" s="21"/>
      <c r="N20" s="12"/>
    </row>
    <row r="21" customFormat="false" ht="15.75" hidden="false" customHeight="true" outlineLevel="0" collapsed="false">
      <c r="A21" s="22"/>
      <c r="B21" s="23"/>
      <c r="C21" s="24"/>
      <c r="D21" s="24"/>
      <c r="E21" s="24"/>
      <c r="F21" s="18" t="str">
        <f aca="true">IF(E21="","",E21-TODAY())</f>
        <v/>
      </c>
      <c r="G21" s="19" t="str">
        <f aca="false">IF(E21="","",IF(F21&lt;0,"期限切れ",IF(F21&lt;=30,"要更新(30日以内)",IF(F21&lt;=60,"依頼準備","有効"))))</f>
        <v/>
      </c>
      <c r="H21" s="20" t="str">
        <f aca="false">IF(E21="","",E21-45)</f>
        <v/>
      </c>
      <c r="I21" s="24"/>
      <c r="J21" s="24"/>
      <c r="K21" s="23"/>
      <c r="L21" s="21"/>
      <c r="M21" s="21"/>
      <c r="N21" s="12"/>
    </row>
    <row r="22" customFormat="false" ht="15.75" hidden="false" customHeight="true" outlineLevel="0" collapsed="false">
      <c r="A22" s="22"/>
      <c r="B22" s="23"/>
      <c r="C22" s="24"/>
      <c r="D22" s="24"/>
      <c r="E22" s="24"/>
      <c r="F22" s="25" t="str">
        <f aca="true">IF(E22="","",E22-TODAY())</f>
        <v/>
      </c>
      <c r="G22" s="26" t="str">
        <f aca="false">IF(E22="","",IF(F22&lt;0,"期限切れ",IF(F22&lt;=30,"要更新(30日以内)",IF(F22&lt;=60,"依頼準備","有効"))))</f>
        <v/>
      </c>
      <c r="H22" s="27" t="str">
        <f aca="false">IF(E22="","",E22-45)</f>
        <v/>
      </c>
      <c r="I22" s="24"/>
      <c r="J22" s="24"/>
      <c r="K22" s="23"/>
      <c r="L22" s="21"/>
      <c r="M22" s="21"/>
      <c r="N22" s="12"/>
    </row>
    <row r="23" customFormat="false" ht="15.75" hidden="false" customHeight="true" outlineLevel="0" collapsed="false">
      <c r="A23" s="22"/>
      <c r="B23" s="23"/>
      <c r="C23" s="24"/>
      <c r="D23" s="24"/>
      <c r="E23" s="24"/>
      <c r="F23" s="18" t="str">
        <f aca="true">IF(E23="","",E23-TODAY())</f>
        <v/>
      </c>
      <c r="G23" s="19" t="str">
        <f aca="false">IF(E23="","",IF(F23&lt;0,"期限切れ",IF(F23&lt;=30,"要更新(30日以内)",IF(F23&lt;=60,"依頼準備","有効"))))</f>
        <v/>
      </c>
      <c r="H23" s="20" t="str">
        <f aca="false">IF(E23="","",E23-45)</f>
        <v/>
      </c>
      <c r="I23" s="24"/>
      <c r="J23" s="24"/>
      <c r="K23" s="23"/>
      <c r="L23" s="21"/>
      <c r="M23" s="21"/>
      <c r="N23" s="12"/>
    </row>
    <row r="24" customFormat="false" ht="15.75" hidden="false" customHeight="true" outlineLevel="0" collapsed="false">
      <c r="A24" s="22"/>
      <c r="B24" s="23"/>
      <c r="C24" s="24"/>
      <c r="D24" s="24"/>
      <c r="E24" s="24"/>
      <c r="F24" s="25" t="str">
        <f aca="true">IF(E24="","",E24-TODAY())</f>
        <v/>
      </c>
      <c r="G24" s="26" t="str">
        <f aca="false">IF(E24="","",IF(F24&lt;0,"期限切れ",IF(F24&lt;=30,"要更新(30日以内)",IF(F24&lt;=60,"依頼準備","有効"))))</f>
        <v/>
      </c>
      <c r="H24" s="27" t="str">
        <f aca="false">IF(E24="","",E24-45)</f>
        <v/>
      </c>
      <c r="I24" s="24"/>
      <c r="J24" s="24"/>
      <c r="K24" s="23"/>
      <c r="L24" s="21"/>
      <c r="M24" s="21"/>
      <c r="N24" s="12"/>
    </row>
    <row r="25" customFormat="false" ht="15.75" hidden="false" customHeight="true" outlineLevel="0" collapsed="false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customFormat="false" ht="15.75" hidden="false" customHeight="true" outlineLevel="0" collapsed="false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customFormat="false" ht="15.75" hidden="false" customHeight="true" outlineLevel="0" collapsed="false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customFormat="false" ht="15.75" hidden="false" customHeight="true" outlineLevel="0" collapsed="false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customFormat="false" ht="15.75" hidden="false" customHeight="true" outlineLevel="0" collapsed="false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customFormat="false" ht="15.75" hidden="false" customHeight="true" outlineLevel="0" collapsed="false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K1"/>
    <mergeCell ref="A2:K2"/>
  </mergeCells>
  <conditionalFormatting sqref="A5:K1000">
    <cfRule type="expression" priority="2" aboveAverage="0" equalAverage="0" bottom="0" percent="0" rank="0" text="" dxfId="0">
      <formula>AND($E5&lt;&gt;"", EDATE($E5,-1)&lt;=TODAY())</formula>
    </cfRule>
  </conditionalFormatting>
  <conditionalFormatting sqref="G5:G24">
    <cfRule type="expression" priority="3" aboveAverage="0" equalAverage="0" bottom="0" percent="0" rank="0" text="" dxfId="1">
      <formula>G5="期限切れ"</formula>
    </cfRule>
    <cfRule type="expression" priority="4" aboveAverage="0" equalAverage="0" bottom="0" percent="0" rank="0" text="" dxfId="2">
      <formula>G5="要更新(30日以内)"</formula>
    </cfRule>
    <cfRule type="expression" priority="5" aboveAverage="0" equalAverage="0" bottom="0" percent="0" rank="0" text="" dxfId="3">
      <formula>G5="依頼準備"</formula>
    </cfRule>
  </conditionalFormatting>
  <dataValidations count="5">
    <dataValidation allowBlank="true" errorStyle="stop" operator="between" showDropDown="true" showErrorMessage="false" showInputMessage="false" sqref="C5:E1000 H5:J1000" type="custom">
      <formula1>OR(NOT(ISERROR(DATEVALUE(C5))), AND(ISNUMBER(C5), LEFT(CELL("format", C5))="D"))</formula1>
      <formula2>0</formula2>
    </dataValidation>
    <dataValidation allowBlank="true" errorStyle="stop" operator="between" showDropDown="false" showErrorMessage="false" showInputMessage="false" sqref="B5:B24" type="list">
      <formula1>"訪問看護指示書,精神科訪問看護指示書,特別訪問看護指示書"</formula1>
      <formula2>0</formula2>
    </dataValidation>
    <dataValidation allowBlank="true" errorStyle="stop" operator="between" showDropDown="false" showErrorMessage="false" showInputMessage="false" sqref="K5:K1000" type="list">
      <formula1>"継続依頼予定,依頼済み,受領済み,終了,確認中"</formula1>
      <formula2>0</formula2>
    </dataValidation>
    <dataValidation allowBlank="true" errorStyle="stop" operator="between" showDropDown="false" showErrorMessage="false" showInputMessage="false" sqref="L5:L24" type="list">
      <formula1>"介護保険,医療保険"</formula1>
      <formula2>0</formula2>
    </dataValidation>
    <dataValidation allowBlank="true" errorStyle="stop" operator="between" showDropDown="false" showErrorMessage="false" showInputMessage="false" sqref="M5:M24" type="list">
      <formula1>"要,不要"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0.29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10" min="5" style="1" width="14.29"/>
    <col collapsed="false" customWidth="true" hidden="false" outlineLevel="0" max="13" min="11" style="1" width="12"/>
    <col collapsed="false" customWidth="true" hidden="false" outlineLevel="0" max="14" min="14" style="1" width="10"/>
    <col collapsed="false" customWidth="true" hidden="false" outlineLevel="0" max="28" min="15" style="1" width="8.71"/>
  </cols>
  <sheetData>
    <row r="1" customFormat="false" ht="25.5" hidden="false" customHeight="true" outlineLevel="0" collapsed="false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8" hidden="false" customHeight="true" outlineLevel="0" collapsed="false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32.25" hidden="false" customHeight="true" outlineLevel="0" collapsed="false">
      <c r="A3" s="29" t="s">
        <v>47</v>
      </c>
      <c r="B3" s="30" t="n">
        <v>46258</v>
      </c>
      <c r="C3" s="29" t="s">
        <v>48</v>
      </c>
      <c r="D3" s="30" t="n">
        <f aca="true">TODAY()</f>
        <v>46260</v>
      </c>
      <c r="E3" s="29" t="s">
        <v>49</v>
      </c>
      <c r="F3" s="12" t="n">
        <v>10</v>
      </c>
      <c r="G3" s="12"/>
      <c r="H3" s="12"/>
      <c r="I3" s="12"/>
      <c r="J3" s="12"/>
      <c r="K3" s="12"/>
      <c r="L3" s="12"/>
      <c r="M3" s="12"/>
      <c r="N3" s="12"/>
    </row>
    <row r="4" customFormat="false" ht="42" hidden="false" customHeight="true" outlineLevel="0" collapsed="false">
      <c r="A4" s="14" t="s">
        <v>22</v>
      </c>
      <c r="B4" s="14" t="s">
        <v>50</v>
      </c>
      <c r="C4" s="14" t="s">
        <v>51</v>
      </c>
      <c r="D4" s="14" t="s">
        <v>52</v>
      </c>
      <c r="E4" s="14" t="s">
        <v>53</v>
      </c>
      <c r="F4" s="14" t="s">
        <v>54</v>
      </c>
      <c r="G4" s="14" t="s">
        <v>55</v>
      </c>
      <c r="H4" s="14" t="s">
        <v>56</v>
      </c>
      <c r="I4" s="14" t="s">
        <v>57</v>
      </c>
      <c r="J4" s="14" t="s">
        <v>58</v>
      </c>
      <c r="K4" s="14" t="s">
        <v>59</v>
      </c>
      <c r="L4" s="14" t="s">
        <v>60</v>
      </c>
      <c r="M4" s="14" t="s">
        <v>61</v>
      </c>
      <c r="N4" s="14" t="s">
        <v>62</v>
      </c>
    </row>
    <row r="5" customFormat="false" ht="29.25" hidden="false" customHeight="true" outlineLevel="0" collapsed="false">
      <c r="A5" s="16" t="s">
        <v>35</v>
      </c>
      <c r="B5" s="31" t="n">
        <v>20000</v>
      </c>
      <c r="C5" s="31"/>
      <c r="D5" s="32" t="n">
        <v>5200</v>
      </c>
      <c r="E5" s="16" t="s">
        <v>63</v>
      </c>
      <c r="F5" s="32" t="n">
        <v>12000</v>
      </c>
      <c r="G5" s="16" t="s">
        <v>64</v>
      </c>
      <c r="H5" s="32" t="n">
        <v>3000</v>
      </c>
      <c r="I5" s="32"/>
      <c r="J5" s="32"/>
      <c r="K5" s="33" t="n">
        <f aca="false">IF(A5="","", MAX(0, MAX(B5,C5) - SUM(F5,H5,J5)))</f>
        <v>5000</v>
      </c>
      <c r="L5" s="33" t="n">
        <f aca="false">IF(A5="","", SUM(F5,H5,J5) + K5)</f>
        <v>20000</v>
      </c>
      <c r="M5" s="33" t="n">
        <f aca="false">IF(A5="","", MAX(B5,C5) - L5)</f>
        <v>0</v>
      </c>
      <c r="N5" s="19" t="str">
        <f aca="false">IF(A5="","", IF(M5&lt;0, "超過", "範囲内"))</f>
        <v>範囲内</v>
      </c>
    </row>
    <row r="6" customFormat="false" ht="15" hidden="false" customHeight="true" outlineLevel="0" collapsed="false">
      <c r="A6" s="21"/>
      <c r="B6" s="34"/>
      <c r="C6" s="34"/>
      <c r="D6" s="35"/>
      <c r="E6" s="21"/>
      <c r="F6" s="35"/>
      <c r="G6" s="21"/>
      <c r="H6" s="35"/>
      <c r="I6" s="35"/>
      <c r="J6" s="35"/>
      <c r="K6" s="33" t="str">
        <f aca="false">IF(A6="","", MAX(0, MAX(B6,C6) - SUM(F6,H6,J6)))</f>
        <v/>
      </c>
      <c r="L6" s="33" t="str">
        <f aca="false">IF(A6="","", SUM(F6,H6,J6) + K6)</f>
        <v/>
      </c>
      <c r="M6" s="33" t="str">
        <f aca="false">IF(A6="","", MAX(B6,C6) - L6)</f>
        <v/>
      </c>
      <c r="N6" s="19" t="str">
        <f aca="false">IF(A6="","", IF(M6&lt;0, "超過", "範囲内"))</f>
        <v/>
      </c>
    </row>
    <row r="7" customFormat="false" ht="15" hidden="false" customHeight="true" outlineLevel="0" collapsed="false">
      <c r="A7" s="21"/>
      <c r="B7" s="34"/>
      <c r="C7" s="34"/>
      <c r="D7" s="35"/>
      <c r="E7" s="21"/>
      <c r="F7" s="35"/>
      <c r="G7" s="21"/>
      <c r="H7" s="35"/>
      <c r="I7" s="35"/>
      <c r="J7" s="35"/>
      <c r="K7" s="33" t="str">
        <f aca="false">IF(A7="","", MAX(0, MAX(B7,C7) - SUM(F7,H7,J7)))</f>
        <v/>
      </c>
      <c r="L7" s="33" t="str">
        <f aca="false">IF(A7="","", SUM(F7,H7,J7) + K7)</f>
        <v/>
      </c>
      <c r="M7" s="33" t="str">
        <f aca="false">IF(A7="","", MAX(B7,C7) - L7)</f>
        <v/>
      </c>
      <c r="N7" s="19" t="str">
        <f aca="false">IF(A7="","", IF(M7&lt;0, "超過", "範囲内"))</f>
        <v/>
      </c>
    </row>
    <row r="8" customFormat="false" ht="15" hidden="false" customHeight="true" outlineLevel="0" collapsed="false">
      <c r="A8" s="21"/>
      <c r="B8" s="34"/>
      <c r="C8" s="34"/>
      <c r="D8" s="35"/>
      <c r="E8" s="21"/>
      <c r="F8" s="35"/>
      <c r="G8" s="21"/>
      <c r="H8" s="35"/>
      <c r="I8" s="35"/>
      <c r="J8" s="35"/>
      <c r="K8" s="33" t="str">
        <f aca="false">IF(A8="","", MAX(0, MAX(B8,C8) - SUM(F8,H8,J8)))</f>
        <v/>
      </c>
      <c r="L8" s="33" t="str">
        <f aca="false">IF(A8="","", SUM(F8,H8,J8) + K8)</f>
        <v/>
      </c>
      <c r="M8" s="33" t="str">
        <f aca="false">IF(A8="","", MAX(B8,C8) - L8)</f>
        <v/>
      </c>
      <c r="N8" s="19" t="str">
        <f aca="false">IF(A8="","", IF(M8&lt;0, "超過", "範囲内"))</f>
        <v/>
      </c>
    </row>
    <row r="9" customFormat="false" ht="15" hidden="false" customHeight="true" outlineLevel="0" collapsed="false">
      <c r="A9" s="21"/>
      <c r="B9" s="34"/>
      <c r="C9" s="34"/>
      <c r="D9" s="35"/>
      <c r="E9" s="21"/>
      <c r="F9" s="35"/>
      <c r="G9" s="21"/>
      <c r="H9" s="35"/>
      <c r="I9" s="35"/>
      <c r="J9" s="35"/>
      <c r="K9" s="33" t="str">
        <f aca="false">IF(A9="","", MAX(0, MAX(B9,C9) - SUM(F9,H9,J9)))</f>
        <v/>
      </c>
      <c r="L9" s="33" t="str">
        <f aca="false">IF(A9="","", SUM(F9,H9,J9) + K9)</f>
        <v/>
      </c>
      <c r="M9" s="33" t="str">
        <f aca="false">IF(A9="","", MAX(B9,C9) - L9)</f>
        <v/>
      </c>
      <c r="N9" s="19" t="str">
        <f aca="false">IF(A9="","", IF(M9&lt;0, "超過", "範囲内"))</f>
        <v/>
      </c>
    </row>
    <row r="10" customFormat="false" ht="15" hidden="false" customHeight="true" outlineLevel="0" collapsed="false">
      <c r="A10" s="21"/>
      <c r="B10" s="34"/>
      <c r="C10" s="34"/>
      <c r="D10" s="35"/>
      <c r="E10" s="21"/>
      <c r="F10" s="35"/>
      <c r="G10" s="21"/>
      <c r="H10" s="35"/>
      <c r="I10" s="35"/>
      <c r="J10" s="35"/>
      <c r="K10" s="33" t="str">
        <f aca="false">IF(A10="","", MAX(0, MAX(B10,C10) - SUM(F10,H10,J10)))</f>
        <v/>
      </c>
      <c r="L10" s="33" t="str">
        <f aca="false">IF(A10="","", SUM(F10,H10,J10) + K10)</f>
        <v/>
      </c>
      <c r="M10" s="33" t="str">
        <f aca="false">IF(A10="","", MAX(B10,C10) - L10)</f>
        <v/>
      </c>
      <c r="N10" s="19" t="str">
        <f aca="false">IF(A10="","", IF(M10&lt;0, "超過", "範囲内"))</f>
        <v/>
      </c>
    </row>
    <row r="11" customFormat="false" ht="15" hidden="false" customHeight="true" outlineLevel="0" collapsed="false">
      <c r="A11" s="21"/>
      <c r="B11" s="34"/>
      <c r="C11" s="34"/>
      <c r="D11" s="35"/>
      <c r="E11" s="21"/>
      <c r="F11" s="35"/>
      <c r="G11" s="21"/>
      <c r="H11" s="35"/>
      <c r="I11" s="35"/>
      <c r="J11" s="35"/>
      <c r="K11" s="33" t="str">
        <f aca="false">IF(A11="","", MAX(0, MAX(B11,C11) - SUM(F11,H11,J11)))</f>
        <v/>
      </c>
      <c r="L11" s="33" t="str">
        <f aca="false">IF(A11="","", SUM(F11,H11,J11) + K11)</f>
        <v/>
      </c>
      <c r="M11" s="33" t="str">
        <f aca="false">IF(A11="","", MAX(B11,C11) - L11)</f>
        <v/>
      </c>
      <c r="N11" s="19" t="str">
        <f aca="false">IF(A11="","", IF(M11&lt;0, "超過", "範囲内"))</f>
        <v/>
      </c>
    </row>
    <row r="12" customFormat="false" ht="15" hidden="false" customHeight="true" outlineLevel="0" collapsed="false">
      <c r="A12" s="21"/>
      <c r="B12" s="34"/>
      <c r="C12" s="34"/>
      <c r="D12" s="35"/>
      <c r="E12" s="21"/>
      <c r="F12" s="35"/>
      <c r="G12" s="21"/>
      <c r="H12" s="35"/>
      <c r="I12" s="35"/>
      <c r="J12" s="35"/>
      <c r="K12" s="33" t="str">
        <f aca="false">IF(A12="","", MAX(0, MAX(B12,C12) - SUM(F12,H12,J12)))</f>
        <v/>
      </c>
      <c r="L12" s="33" t="str">
        <f aca="false">IF(A12="","", SUM(F12,H12,J12) + K12)</f>
        <v/>
      </c>
      <c r="M12" s="33" t="str">
        <f aca="false">IF(A12="","", MAX(B12,C12) - L12)</f>
        <v/>
      </c>
      <c r="N12" s="19" t="str">
        <f aca="false">IF(A12="","", IF(M12&lt;0, "超過", "範囲内"))</f>
        <v/>
      </c>
    </row>
    <row r="13" customFormat="false" ht="15" hidden="false" customHeight="true" outlineLevel="0" collapsed="false">
      <c r="A13" s="21"/>
      <c r="B13" s="34"/>
      <c r="C13" s="34"/>
      <c r="D13" s="35"/>
      <c r="E13" s="21"/>
      <c r="F13" s="35"/>
      <c r="G13" s="21"/>
      <c r="H13" s="35"/>
      <c r="I13" s="35"/>
      <c r="J13" s="35"/>
      <c r="K13" s="33" t="str">
        <f aca="false">IF(A13="","", MAX(0, MAX(B13,C13) - SUM(F13,H13,J13)))</f>
        <v/>
      </c>
      <c r="L13" s="33" t="str">
        <f aca="false">IF(A13="","", SUM(F13,H13,J13) + K13)</f>
        <v/>
      </c>
      <c r="M13" s="33" t="str">
        <f aca="false">IF(A13="","", MAX(B13,C13) - L13)</f>
        <v/>
      </c>
      <c r="N13" s="19" t="str">
        <f aca="false">IF(A13="","", IF(M13&lt;0, "超過", "範囲内"))</f>
        <v/>
      </c>
    </row>
    <row r="14" customFormat="false" ht="15" hidden="false" customHeight="true" outlineLevel="0" collapsed="false">
      <c r="A14" s="21"/>
      <c r="B14" s="34"/>
      <c r="C14" s="34"/>
      <c r="D14" s="35"/>
      <c r="E14" s="21"/>
      <c r="F14" s="35"/>
      <c r="G14" s="21"/>
      <c r="H14" s="35"/>
      <c r="I14" s="35"/>
      <c r="J14" s="35"/>
      <c r="K14" s="33" t="str">
        <f aca="false">IF(A14="","", MAX(0, MAX(B14,C14) - SUM(F14,H14,J14)))</f>
        <v/>
      </c>
      <c r="L14" s="33" t="str">
        <f aca="false">IF(A14="","", SUM(F14,H14,J14) + K14)</f>
        <v/>
      </c>
      <c r="M14" s="33" t="str">
        <f aca="false">IF(A14="","", MAX(B14,C14) - L14)</f>
        <v/>
      </c>
      <c r="N14" s="19" t="str">
        <f aca="false">IF(A14="","", IF(M14&lt;0, "超過", "範囲内"))</f>
        <v/>
      </c>
    </row>
    <row r="15" customFormat="false" ht="15" hidden="false" customHeight="true" outlineLevel="0" collapsed="false">
      <c r="A15" s="21"/>
      <c r="B15" s="34"/>
      <c r="C15" s="34"/>
      <c r="D15" s="35"/>
      <c r="E15" s="21"/>
      <c r="F15" s="35"/>
      <c r="G15" s="21"/>
      <c r="H15" s="35"/>
      <c r="I15" s="35"/>
      <c r="J15" s="35"/>
      <c r="K15" s="33" t="str">
        <f aca="false">IF(A15="","", MAX(0, MAX(B15,C15) - SUM(F15,H15,J15)))</f>
        <v/>
      </c>
      <c r="L15" s="33" t="str">
        <f aca="false">IF(A15="","", SUM(F15,H15,J15) + K15)</f>
        <v/>
      </c>
      <c r="M15" s="33" t="str">
        <f aca="false">IF(A15="","", MAX(B15,C15) - L15)</f>
        <v/>
      </c>
      <c r="N15" s="19" t="str">
        <f aca="false">IF(A15="","", IF(M15&lt;0, "超過", "範囲内"))</f>
        <v/>
      </c>
    </row>
    <row r="16" customFormat="false" ht="15" hidden="false" customHeight="true" outlineLevel="0" collapsed="false">
      <c r="A16" s="21"/>
      <c r="B16" s="34"/>
      <c r="C16" s="34"/>
      <c r="D16" s="35"/>
      <c r="E16" s="21"/>
      <c r="F16" s="35"/>
      <c r="G16" s="21"/>
      <c r="H16" s="35"/>
      <c r="I16" s="35"/>
      <c r="J16" s="35"/>
      <c r="K16" s="33" t="str">
        <f aca="false">IF(A16="","", MAX(0, MAX(B16,C16) - SUM(F16,H16,J16)))</f>
        <v/>
      </c>
      <c r="L16" s="33" t="str">
        <f aca="false">IF(A16="","", SUM(F16,H16,J16) + K16)</f>
        <v/>
      </c>
      <c r="M16" s="33" t="str">
        <f aca="false">IF(A16="","", MAX(B16,C16) - L16)</f>
        <v/>
      </c>
      <c r="N16" s="19" t="str">
        <f aca="false">IF(A16="","", IF(M16&lt;0, "超過", "範囲内"))</f>
        <v/>
      </c>
    </row>
    <row r="17" customFormat="false" ht="15" hidden="false" customHeight="true" outlineLevel="0" collapsed="false">
      <c r="A17" s="21"/>
      <c r="B17" s="34"/>
      <c r="C17" s="34"/>
      <c r="D17" s="35"/>
      <c r="E17" s="21"/>
      <c r="F17" s="35"/>
      <c r="G17" s="21"/>
      <c r="H17" s="35"/>
      <c r="I17" s="35"/>
      <c r="J17" s="35"/>
      <c r="K17" s="33" t="str">
        <f aca="false">IF(A17="","", MAX(0, MAX(B17,C17) - SUM(F17,H17,J17)))</f>
        <v/>
      </c>
      <c r="L17" s="33" t="str">
        <f aca="false">IF(A17="","", SUM(F17,H17,J17) + K17)</f>
        <v/>
      </c>
      <c r="M17" s="33" t="str">
        <f aca="false">IF(A17="","", MAX(B17,C17) - L17)</f>
        <v/>
      </c>
      <c r="N17" s="19" t="str">
        <f aca="false">IF(A17="","", IF(M17&lt;0, "超過", "範囲内"))</f>
        <v/>
      </c>
    </row>
    <row r="18" customFormat="false" ht="15" hidden="false" customHeight="true" outlineLevel="0" collapsed="false">
      <c r="A18" s="21"/>
      <c r="B18" s="34"/>
      <c r="C18" s="34"/>
      <c r="D18" s="35"/>
      <c r="E18" s="21"/>
      <c r="F18" s="35"/>
      <c r="G18" s="21"/>
      <c r="H18" s="35"/>
      <c r="I18" s="35"/>
      <c r="J18" s="35"/>
      <c r="K18" s="33" t="str">
        <f aca="false">IF(A18="","", MAX(0, MAX(B18,C18) - SUM(F18,H18,J18)))</f>
        <v/>
      </c>
      <c r="L18" s="33" t="str">
        <f aca="false">IF(A18="","", SUM(F18,H18,J18) + K18)</f>
        <v/>
      </c>
      <c r="M18" s="33" t="str">
        <f aca="false">IF(A18="","", MAX(B18,C18) - L18)</f>
        <v/>
      </c>
      <c r="N18" s="19" t="str">
        <f aca="false">IF(A18="","", IF(M18&lt;0, "超過", "範囲内"))</f>
        <v/>
      </c>
    </row>
    <row r="19" customFormat="false" ht="15" hidden="false" customHeight="true" outlineLevel="0" collapsed="false">
      <c r="A19" s="21"/>
      <c r="B19" s="34"/>
      <c r="C19" s="34"/>
      <c r="D19" s="35"/>
      <c r="E19" s="21"/>
      <c r="F19" s="35"/>
      <c r="G19" s="21"/>
      <c r="H19" s="35"/>
      <c r="I19" s="35"/>
      <c r="J19" s="35"/>
      <c r="K19" s="33" t="str">
        <f aca="false">IF(A19="","", MAX(0, MAX(B19,C19) - SUM(F19,H19,J19)))</f>
        <v/>
      </c>
      <c r="L19" s="33" t="str">
        <f aca="false">IF(A19="","", SUM(F19,H19,J19) + K19)</f>
        <v/>
      </c>
      <c r="M19" s="33" t="str">
        <f aca="false">IF(A19="","", MAX(B19,C19) - L19)</f>
        <v/>
      </c>
      <c r="N19" s="19" t="str">
        <f aca="false">IF(A19="","", IF(M19&lt;0, "超過", "範囲内"))</f>
        <v/>
      </c>
    </row>
    <row r="20" customFormat="false" ht="15" hidden="false" customHeight="true" outlineLevel="0" collapsed="false">
      <c r="A20" s="21"/>
      <c r="B20" s="34"/>
      <c r="C20" s="34"/>
      <c r="D20" s="35"/>
      <c r="E20" s="21"/>
      <c r="F20" s="35"/>
      <c r="G20" s="21"/>
      <c r="H20" s="35"/>
      <c r="I20" s="35"/>
      <c r="J20" s="35"/>
      <c r="K20" s="33" t="str">
        <f aca="false">IF(A20="","", MAX(0, MAX(B20,C20) - SUM(F20,H20,J20)))</f>
        <v/>
      </c>
      <c r="L20" s="33" t="str">
        <f aca="false">IF(A20="","", SUM(F20,H20,J20) + K20)</f>
        <v/>
      </c>
      <c r="M20" s="33" t="str">
        <f aca="false">IF(A20="","", MAX(B20,C20) - L20)</f>
        <v/>
      </c>
      <c r="N20" s="19" t="str">
        <f aca="false">IF(A20="","", IF(M20&lt;0, "超過", "範囲内"))</f>
        <v/>
      </c>
    </row>
    <row r="21" customFormat="false" ht="15.75" hidden="false" customHeight="true" outlineLevel="0" collapsed="false">
      <c r="A21" s="21"/>
      <c r="B21" s="34"/>
      <c r="C21" s="34"/>
      <c r="D21" s="35"/>
      <c r="E21" s="21"/>
      <c r="F21" s="35"/>
      <c r="G21" s="21"/>
      <c r="H21" s="35"/>
      <c r="I21" s="35"/>
      <c r="J21" s="35"/>
      <c r="K21" s="33" t="str">
        <f aca="false">IF(A21="","", MAX(0, MAX(B21,C21) - SUM(F21,H21,J21)))</f>
        <v/>
      </c>
      <c r="L21" s="33" t="str">
        <f aca="false">IF(A21="","", SUM(F21,H21,J21) + K21)</f>
        <v/>
      </c>
      <c r="M21" s="33" t="str">
        <f aca="false">IF(A21="","", MAX(B21,C21) - L21)</f>
        <v/>
      </c>
      <c r="N21" s="19" t="str">
        <f aca="false">IF(A21="","", IF(M21&lt;0, "超過", "範囲内"))</f>
        <v/>
      </c>
    </row>
    <row r="22" customFormat="false" ht="15.75" hidden="false" customHeight="true" outlineLevel="0" collapsed="false">
      <c r="A22" s="21"/>
      <c r="B22" s="34"/>
      <c r="C22" s="34"/>
      <c r="D22" s="35"/>
      <c r="E22" s="21"/>
      <c r="F22" s="35"/>
      <c r="G22" s="21"/>
      <c r="H22" s="35"/>
      <c r="I22" s="35"/>
      <c r="J22" s="35"/>
      <c r="K22" s="33" t="str">
        <f aca="false">IF(A22="","", MAX(0, MAX(B22,C22) - SUM(F22,H22,J22)))</f>
        <v/>
      </c>
      <c r="L22" s="33" t="str">
        <f aca="false">IF(A22="","", SUM(F22,H22,J22) + K22)</f>
        <v/>
      </c>
      <c r="M22" s="33" t="str">
        <f aca="false">IF(A22="","", MAX(B22,C22) - L22)</f>
        <v/>
      </c>
      <c r="N22" s="19" t="str">
        <f aca="false">IF(A22="","", IF(M22&lt;0, "超過", "範囲内"))</f>
        <v/>
      </c>
    </row>
    <row r="23" customFormat="false" ht="15.75" hidden="false" customHeight="true" outlineLevel="0" collapsed="false">
      <c r="A23" s="21"/>
      <c r="B23" s="34"/>
      <c r="C23" s="34"/>
      <c r="D23" s="35"/>
      <c r="E23" s="21"/>
      <c r="F23" s="35"/>
      <c r="G23" s="21"/>
      <c r="H23" s="35"/>
      <c r="I23" s="35"/>
      <c r="J23" s="35"/>
      <c r="K23" s="33" t="str">
        <f aca="false">IF(A23="","", MAX(0, MAX(B23,C23) - SUM(F23,H23,J23)))</f>
        <v/>
      </c>
      <c r="L23" s="33" t="str">
        <f aca="false">IF(A23="","", SUM(F23,H23,J23) + K23)</f>
        <v/>
      </c>
      <c r="M23" s="33" t="str">
        <f aca="false">IF(A23="","", MAX(B23,C23) - L23)</f>
        <v/>
      </c>
      <c r="N23" s="19" t="str">
        <f aca="false">IF(A23="","", IF(M23&lt;0, "超過", "範囲内"))</f>
        <v/>
      </c>
    </row>
    <row r="24" customFormat="false" ht="15.75" hidden="false" customHeight="true" outlineLevel="0" collapsed="false">
      <c r="A24" s="21"/>
      <c r="B24" s="34"/>
      <c r="C24" s="34"/>
      <c r="D24" s="35"/>
      <c r="E24" s="21"/>
      <c r="F24" s="35"/>
      <c r="G24" s="21"/>
      <c r="H24" s="35"/>
      <c r="I24" s="35"/>
      <c r="J24" s="35"/>
      <c r="K24" s="33" t="str">
        <f aca="false">IF(A24="","", MAX(0, MAX(B24,C24) - SUM(F24,H24,J24)))</f>
        <v/>
      </c>
      <c r="L24" s="33" t="str">
        <f aca="false">IF(A24="","", SUM(F24,H24,J24) + K24)</f>
        <v/>
      </c>
      <c r="M24" s="33" t="str">
        <f aca="false">IF(A24="","", MAX(B24,C24) - L24)</f>
        <v/>
      </c>
      <c r="N24" s="19" t="str">
        <f aca="false">IF(A24="","", IF(M24&lt;0, "超過", "範囲内"))</f>
        <v/>
      </c>
    </row>
    <row r="25" customFormat="false" ht="15.75" hidden="false" customHeight="true" outlineLevel="0" collapsed="false">
      <c r="A25" s="12"/>
      <c r="B25" s="36"/>
      <c r="C25" s="36"/>
      <c r="D25" s="12"/>
      <c r="E25" s="12"/>
      <c r="F25" s="12"/>
      <c r="G25" s="12"/>
      <c r="H25" s="12"/>
      <c r="I25" s="12"/>
      <c r="J25" s="12"/>
      <c r="K25" s="37" t="str">
        <f aca="false">IF(A25="","", MAX(0, MAX(B25,C25) - SUM(F25,H25,J25)))</f>
        <v/>
      </c>
      <c r="L25" s="33" t="str">
        <f aca="false">IF(A25="","", SUM(F25,H25,J25) + K25)</f>
        <v/>
      </c>
      <c r="M25" s="33" t="str">
        <f aca="false">IF(A25="","", MAX(B25,C25) - L25)</f>
        <v/>
      </c>
      <c r="N25" s="19" t="str">
        <f aca="false">IF(A25="","", IF(M25&lt;0, "超過", "範囲内"))</f>
        <v/>
      </c>
    </row>
    <row r="26" customFormat="false" ht="15.75" hidden="false" customHeight="true" outlineLevel="0" collapsed="false">
      <c r="A26" s="12"/>
      <c r="B26" s="36"/>
      <c r="C26" s="36"/>
      <c r="D26" s="12"/>
      <c r="E26" s="12"/>
      <c r="F26" s="12"/>
      <c r="G26" s="12"/>
      <c r="H26" s="12"/>
      <c r="I26" s="12"/>
      <c r="J26" s="12"/>
      <c r="K26" s="37" t="str">
        <f aca="false">IF(A26="","", MAX(0, MAX(B26,C26) - SUM(F26,H26,J26)))</f>
        <v/>
      </c>
      <c r="L26" s="33" t="str">
        <f aca="false">IF(A26="","", SUM(F26,H26,J26) + K26)</f>
        <v/>
      </c>
      <c r="M26" s="33" t="str">
        <f aca="false">IF(A26="","", MAX(B26,C26) - L26)</f>
        <v/>
      </c>
      <c r="N26" s="19" t="str">
        <f aca="false">IF(A26="","", IF(M26&lt;0, "超過", "範囲内"))</f>
        <v/>
      </c>
    </row>
    <row r="27" customFormat="false" ht="15.75" hidden="false" customHeight="true" outlineLevel="0" collapsed="false">
      <c r="A27" s="12"/>
      <c r="B27" s="36"/>
      <c r="C27" s="36"/>
      <c r="D27" s="12"/>
      <c r="E27" s="12"/>
      <c r="F27" s="12"/>
      <c r="G27" s="12"/>
      <c r="H27" s="12"/>
      <c r="I27" s="12"/>
      <c r="J27" s="12"/>
      <c r="K27" s="37" t="str">
        <f aca="false">IF(A27="","", MAX(0, MAX(B27,C27) - SUM(F27,H27,J27)))</f>
        <v/>
      </c>
      <c r="L27" s="33" t="str">
        <f aca="false">IF(A27="","", SUM(F27,H27,J27) + K27)</f>
        <v/>
      </c>
      <c r="M27" s="33" t="str">
        <f aca="false">IF(A27="","", MAX(B27,C27) - L27)</f>
        <v/>
      </c>
      <c r="N27" s="19" t="str">
        <f aca="false">IF(A27="","", IF(M27&lt;0, "超過", "範囲内"))</f>
        <v/>
      </c>
    </row>
    <row r="28" customFormat="false" ht="15.75" hidden="false" customHeight="true" outlineLevel="0" collapsed="false">
      <c r="A28" s="12"/>
      <c r="B28" s="36"/>
      <c r="C28" s="36"/>
      <c r="D28" s="12"/>
      <c r="E28" s="12"/>
      <c r="F28" s="12"/>
      <c r="G28" s="12"/>
      <c r="H28" s="12"/>
      <c r="I28" s="12"/>
      <c r="J28" s="12"/>
      <c r="K28" s="37" t="str">
        <f aca="false">IF(A28="","", MAX(0, MAX(B28,C28) - SUM(F28,H28,J28)))</f>
        <v/>
      </c>
      <c r="L28" s="33" t="str">
        <f aca="false">IF(A28="","", SUM(F28,H28,J28) + K28)</f>
        <v/>
      </c>
      <c r="M28" s="33" t="str">
        <f aca="false">IF(A28="","", MAX(B28,C28) - L28)</f>
        <v/>
      </c>
      <c r="N28" s="19" t="str">
        <f aca="false">IF(A28="","", IF(M28&lt;0, "超過", "範囲内"))</f>
        <v/>
      </c>
    </row>
    <row r="29" customFormat="false" ht="15.75" hidden="false" customHeight="true" outlineLevel="0" collapsed="false">
      <c r="A29" s="12"/>
      <c r="B29" s="36"/>
      <c r="C29" s="36"/>
      <c r="D29" s="12"/>
      <c r="E29" s="12"/>
      <c r="F29" s="12"/>
      <c r="G29" s="12"/>
      <c r="H29" s="12"/>
      <c r="I29" s="12"/>
      <c r="J29" s="12"/>
      <c r="K29" s="37" t="str">
        <f aca="false">IF(A29="","", MAX(0, MAX(B29,C29) - SUM(F29,H29,J29)))</f>
        <v/>
      </c>
      <c r="L29" s="33" t="str">
        <f aca="false">IF(A29="","", SUM(F29,H29,J29) + K29)</f>
        <v/>
      </c>
      <c r="M29" s="33" t="str">
        <f aca="false">IF(A29="","", MAX(B29,C29) - L29)</f>
        <v/>
      </c>
      <c r="N29" s="19" t="str">
        <f aca="false">IF(A29="","", IF(M29&lt;0, "超過", "範囲内"))</f>
        <v/>
      </c>
    </row>
    <row r="30" customFormat="false" ht="15.75" hidden="false" customHeight="true" outlineLevel="0" collapsed="false">
      <c r="A30" s="12"/>
      <c r="B30" s="36"/>
      <c r="C30" s="36"/>
      <c r="D30" s="12"/>
      <c r="E30" s="12"/>
      <c r="F30" s="12"/>
      <c r="G30" s="12"/>
      <c r="H30" s="12"/>
      <c r="I30" s="12"/>
      <c r="J30" s="12"/>
      <c r="K30" s="37" t="str">
        <f aca="false">IF(A30="","", MAX(0, MAX(B30,C30) - SUM(F30,H30,J30)))</f>
        <v/>
      </c>
      <c r="L30" s="33" t="str">
        <f aca="false">IF(A30="","", SUM(F30,H30,J30) + K30)</f>
        <v/>
      </c>
      <c r="M30" s="33" t="str">
        <f aca="false">IF(A30="","", MAX(B30,C30) - L30)</f>
        <v/>
      </c>
      <c r="N30" s="19" t="str">
        <f aca="false">IF(A30="","", IF(M30&lt;0, "超過", "範囲内"))</f>
        <v/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N1"/>
    <mergeCell ref="A2:N2"/>
  </mergeCells>
  <conditionalFormatting sqref="B3">
    <cfRule type="expression" priority="2" aboveAverage="0" equalAverage="0" bottom="0" percent="0" rank="0" text="" dxfId="4">
      <formula>B3&lt;D3</formula>
    </cfRule>
  </conditionalFormatting>
  <conditionalFormatting sqref="N5:N100">
    <cfRule type="expression" priority="3" aboveAverage="0" equalAverage="0" bottom="0" percent="0" rank="0" text="" dxfId="1">
      <formula>N5="超過"</formula>
    </cfRule>
    <cfRule type="expression" priority="4" aboveAverage="0" equalAverage="0" bottom="0" percent="0" rank="0" text="" dxfId="3">
      <formula>N5="範囲内"</formula>
    </cfRule>
  </conditionalFormatting>
  <dataValidations count="2">
    <dataValidation allowBlank="true" errorStyle="stop" operator="between" showDropDown="false" showErrorMessage="false" showInputMessage="false" sqref="B5:B1000" type="list">
      <formula1>"0,2500,5000,10000,20000,30000"</formula1>
      <formula2>0</formula2>
    </dataValidation>
    <dataValidation allowBlank="true" errorStyle="stop" operator="between" showDropDown="false" showErrorMessage="false" showInputMessage="false" sqref="C5:C1000" type="list">
      <formula1>"0,2500,5000,10000,20000"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9" min="8" style="1" width="14"/>
  </cols>
  <sheetData>
    <row r="1" customFormat="false" ht="19.5" hidden="false" customHeight="true" outlineLevel="0" collapsed="false">
      <c r="A1" s="38" t="s">
        <v>65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39" t="s">
        <v>66</v>
      </c>
      <c r="B2" s="39"/>
      <c r="C2" s="39"/>
      <c r="D2" s="39"/>
      <c r="E2" s="39"/>
      <c r="F2" s="39"/>
      <c r="G2" s="39"/>
      <c r="H2" s="39"/>
      <c r="I2" s="39"/>
    </row>
    <row r="4" customFormat="false" ht="33.75" hidden="false" customHeight="true" outlineLevel="0" collapsed="false">
      <c r="A4" s="14" t="s">
        <v>47</v>
      </c>
      <c r="B4" s="14" t="s">
        <v>22</v>
      </c>
      <c r="C4" s="14" t="s">
        <v>67</v>
      </c>
      <c r="D4" s="14" t="s">
        <v>68</v>
      </c>
      <c r="E4" s="14" t="s">
        <v>69</v>
      </c>
      <c r="F4" s="14" t="s">
        <v>70</v>
      </c>
      <c r="G4" s="14" t="s">
        <v>71</v>
      </c>
      <c r="H4" s="14" t="s">
        <v>72</v>
      </c>
      <c r="I4" s="14" t="s">
        <v>73</v>
      </c>
    </row>
    <row r="5" customFormat="false" ht="15" hidden="false" customHeight="true" outlineLevel="0" collapsed="false">
      <c r="A5" s="40" t="s">
        <v>74</v>
      </c>
      <c r="B5" s="41" t="s">
        <v>35</v>
      </c>
      <c r="C5" s="42" t="s">
        <v>75</v>
      </c>
      <c r="D5" s="43" t="s">
        <v>76</v>
      </c>
      <c r="E5" s="41" t="s">
        <v>77</v>
      </c>
      <c r="F5" s="41" t="s">
        <v>78</v>
      </c>
      <c r="G5" s="43" t="s">
        <v>79</v>
      </c>
      <c r="H5" s="43" t="s">
        <v>80</v>
      </c>
      <c r="I5" s="43" t="s">
        <v>81</v>
      </c>
    </row>
    <row r="6" customFormat="false" ht="15" hidden="false" customHeight="true" outlineLevel="0" collapsed="false">
      <c r="A6" s="44"/>
      <c r="B6" s="45"/>
      <c r="C6" s="45"/>
      <c r="D6" s="46"/>
      <c r="E6" s="45"/>
      <c r="F6" s="45"/>
      <c r="G6" s="46"/>
      <c r="H6" s="46"/>
      <c r="I6" s="46"/>
    </row>
    <row r="7" customFormat="false" ht="15" hidden="false" customHeight="true" outlineLevel="0" collapsed="false">
      <c r="A7" s="44"/>
      <c r="B7" s="45"/>
      <c r="C7" s="45"/>
      <c r="D7" s="46"/>
      <c r="E7" s="45"/>
      <c r="F7" s="45"/>
      <c r="G7" s="46"/>
      <c r="H7" s="46"/>
      <c r="I7" s="46"/>
    </row>
    <row r="8" customFormat="false" ht="15" hidden="false" customHeight="true" outlineLevel="0" collapsed="false">
      <c r="A8" s="44"/>
      <c r="B8" s="45"/>
      <c r="C8" s="45"/>
      <c r="D8" s="46"/>
      <c r="E8" s="45"/>
      <c r="F8" s="45"/>
      <c r="G8" s="46"/>
      <c r="H8" s="46"/>
      <c r="I8" s="46"/>
    </row>
    <row r="9" customFormat="false" ht="15" hidden="false" customHeight="true" outlineLevel="0" collapsed="false">
      <c r="A9" s="44"/>
      <c r="B9" s="45"/>
      <c r="C9" s="45"/>
      <c r="D9" s="46"/>
      <c r="E9" s="45"/>
      <c r="F9" s="45"/>
      <c r="G9" s="46"/>
      <c r="H9" s="46"/>
      <c r="I9" s="46"/>
    </row>
    <row r="10" customFormat="false" ht="15" hidden="false" customHeight="true" outlineLevel="0" collapsed="false">
      <c r="A10" s="44"/>
      <c r="B10" s="45"/>
      <c r="C10" s="45"/>
      <c r="D10" s="46"/>
      <c r="E10" s="45"/>
      <c r="F10" s="45"/>
      <c r="G10" s="46"/>
      <c r="H10" s="46"/>
      <c r="I10" s="46"/>
    </row>
    <row r="11" customFormat="false" ht="15" hidden="false" customHeight="true" outlineLevel="0" collapsed="false">
      <c r="A11" s="44"/>
      <c r="B11" s="45"/>
      <c r="C11" s="45"/>
      <c r="D11" s="46"/>
      <c r="E11" s="45"/>
      <c r="F11" s="45"/>
      <c r="G11" s="46"/>
      <c r="H11" s="46"/>
      <c r="I11" s="46"/>
    </row>
    <row r="12" customFormat="false" ht="15" hidden="false" customHeight="true" outlineLevel="0" collapsed="false">
      <c r="A12" s="44"/>
      <c r="B12" s="45"/>
      <c r="C12" s="45"/>
      <c r="D12" s="46"/>
      <c r="E12" s="45"/>
      <c r="F12" s="45"/>
      <c r="G12" s="46"/>
      <c r="H12" s="46"/>
      <c r="I12" s="46"/>
    </row>
    <row r="13" customFormat="false" ht="15" hidden="false" customHeight="true" outlineLevel="0" collapsed="false">
      <c r="A13" s="44"/>
      <c r="B13" s="45"/>
      <c r="C13" s="45"/>
      <c r="D13" s="46"/>
      <c r="E13" s="45"/>
      <c r="F13" s="45"/>
      <c r="G13" s="46"/>
      <c r="H13" s="46"/>
      <c r="I13" s="46"/>
    </row>
    <row r="14" customFormat="false" ht="15" hidden="false" customHeight="true" outlineLevel="0" collapsed="false">
      <c r="A14" s="44"/>
      <c r="B14" s="45"/>
      <c r="C14" s="45"/>
      <c r="D14" s="46"/>
      <c r="E14" s="45"/>
      <c r="F14" s="45"/>
      <c r="G14" s="46"/>
      <c r="H14" s="46"/>
      <c r="I14" s="46"/>
    </row>
    <row r="15" customFormat="false" ht="15" hidden="false" customHeight="true" outlineLevel="0" collapsed="false">
      <c r="A15" s="44"/>
      <c r="B15" s="45"/>
      <c r="C15" s="45"/>
      <c r="D15" s="46"/>
      <c r="E15" s="45"/>
      <c r="F15" s="45"/>
      <c r="G15" s="46"/>
      <c r="H15" s="46"/>
      <c r="I15" s="46"/>
    </row>
    <row r="16" customFormat="false" ht="15" hidden="false" customHeight="true" outlineLevel="0" collapsed="false">
      <c r="A16" s="44"/>
      <c r="B16" s="45"/>
      <c r="C16" s="45"/>
      <c r="D16" s="46"/>
      <c r="E16" s="45"/>
      <c r="F16" s="45"/>
      <c r="G16" s="46"/>
      <c r="H16" s="46"/>
      <c r="I16" s="46"/>
    </row>
    <row r="17" customFormat="false" ht="15" hidden="false" customHeight="true" outlineLevel="0" collapsed="false">
      <c r="A17" s="44"/>
      <c r="B17" s="45"/>
      <c r="C17" s="45"/>
      <c r="D17" s="46"/>
      <c r="E17" s="45"/>
      <c r="F17" s="45"/>
      <c r="G17" s="46"/>
      <c r="H17" s="46"/>
      <c r="I17" s="46"/>
    </row>
    <row r="18" customFormat="false" ht="15" hidden="false" customHeight="true" outlineLevel="0" collapsed="false">
      <c r="A18" s="44"/>
      <c r="B18" s="45"/>
      <c r="C18" s="45"/>
      <c r="D18" s="46"/>
      <c r="E18" s="45"/>
      <c r="F18" s="45"/>
      <c r="G18" s="46"/>
      <c r="H18" s="46"/>
      <c r="I18" s="46"/>
    </row>
    <row r="19" customFormat="false" ht="15" hidden="false" customHeight="true" outlineLevel="0" collapsed="false">
      <c r="A19" s="44"/>
      <c r="B19" s="45"/>
      <c r="C19" s="45"/>
      <c r="D19" s="46"/>
      <c r="E19" s="45"/>
      <c r="F19" s="45"/>
      <c r="G19" s="46"/>
      <c r="H19" s="46"/>
      <c r="I19" s="46"/>
    </row>
    <row r="20" customFormat="false" ht="15" hidden="false" customHeight="true" outlineLevel="0" collapsed="false">
      <c r="A20" s="44"/>
      <c r="B20" s="45"/>
      <c r="C20" s="45"/>
      <c r="D20" s="46"/>
      <c r="E20" s="45"/>
      <c r="F20" s="45"/>
      <c r="G20" s="46"/>
      <c r="H20" s="46"/>
      <c r="I20" s="46"/>
    </row>
    <row r="21" customFormat="false" ht="15" hidden="false" customHeight="true" outlineLevel="0" collapsed="false">
      <c r="A21" s="44"/>
      <c r="B21" s="45"/>
      <c r="C21" s="45"/>
      <c r="D21" s="46"/>
      <c r="E21" s="45"/>
      <c r="F21" s="45"/>
      <c r="G21" s="46"/>
      <c r="H21" s="46"/>
      <c r="I21" s="46"/>
    </row>
    <row r="22" customFormat="false" ht="15" hidden="false" customHeight="true" outlineLevel="0" collapsed="false">
      <c r="A22" s="44"/>
      <c r="B22" s="45"/>
      <c r="C22" s="45"/>
      <c r="D22" s="46"/>
      <c r="E22" s="45"/>
      <c r="F22" s="45"/>
      <c r="G22" s="46"/>
      <c r="H22" s="46"/>
      <c r="I22" s="46"/>
    </row>
    <row r="23" customFormat="false" ht="15" hidden="false" customHeight="true" outlineLevel="0" collapsed="false">
      <c r="A23" s="44"/>
      <c r="B23" s="45"/>
      <c r="C23" s="45"/>
      <c r="D23" s="46"/>
      <c r="E23" s="45"/>
      <c r="F23" s="45"/>
      <c r="G23" s="46"/>
      <c r="H23" s="46"/>
      <c r="I23" s="46"/>
    </row>
    <row r="24" customFormat="false" ht="15" hidden="false" customHeight="true" outlineLevel="0" collapsed="false">
      <c r="A24" s="44"/>
      <c r="B24" s="45"/>
      <c r="C24" s="45"/>
      <c r="D24" s="46"/>
      <c r="E24" s="45"/>
      <c r="F24" s="45"/>
      <c r="G24" s="46"/>
      <c r="H24" s="46"/>
      <c r="I24" s="46"/>
    </row>
  </sheetData>
  <mergeCells count="2">
    <mergeCell ref="A1:I1"/>
    <mergeCell ref="A2:I2"/>
  </mergeCells>
  <conditionalFormatting sqref="D5:D24">
    <cfRule type="expression" priority="2" aboveAverage="0" equalAverage="0" bottom="0" percent="0" rank="0" text="" dxfId="1">
      <formula>AND($A5&lt;&gt;"", $D5="")</formula>
    </cfRule>
  </conditionalFormatting>
  <conditionalFormatting sqref="E5:E24">
    <cfRule type="expression" priority="3" aboveAverage="0" equalAverage="0" bottom="0" percent="0" rank="0" text="" dxfId="1">
      <formula>$E5="未対応"</formula>
    </cfRule>
  </conditionalFormatting>
  <conditionalFormatting sqref="H5:H24">
    <cfRule type="expression" priority="4" aboveAverage="0" equalAverage="0" bottom="0" percent="0" rank="0" text="" dxfId="2">
      <formula>AND($H5&lt;&gt;"", $H5&lt;TODAY())</formula>
    </cfRule>
  </conditionalFormatting>
  <conditionalFormatting sqref="I5:I24">
    <cfRule type="expression" priority="5" aboveAverage="0" equalAverage="0" bottom="0" percent="0" rank="0" text="" dxfId="2">
      <formula>AND($I5&lt;&gt;"", $I5&lt;TODAY())</formula>
    </cfRule>
  </conditionalFormatting>
  <dataValidations count="2">
    <dataValidation allowBlank="true" errorStyle="stop" operator="between" showDropDown="false" showErrorMessage="false" showInputMessage="false" sqref="C5:C24" type="list">
      <formula1>"○,×,要確認"</formula1>
      <formula2>0</formula2>
    </dataValidation>
    <dataValidation allowBlank="true" errorStyle="stop" operator="between" showDropDown="false" showErrorMessage="false" showInputMessage="false" sqref="E5:E24" type="list">
      <formula1>"未対応,確認中,解消済"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1.57"/>
    <col collapsed="false" customWidth="true" hidden="false" outlineLevel="0" max="4" min="2" style="1" width="17.29"/>
    <col collapsed="false" customWidth="true" hidden="false" outlineLevel="0" max="6" min="5" style="1" width="21.57"/>
  </cols>
  <sheetData>
    <row r="1" customFormat="false" ht="17.25" hidden="false" customHeight="true" outlineLevel="0" collapsed="false">
      <c r="A1" s="47" t="s">
        <v>82</v>
      </c>
    </row>
    <row r="2" customFormat="false" ht="15" hidden="false" customHeight="true" outlineLevel="0" collapsed="false">
      <c r="A2" s="48" t="s">
        <v>83</v>
      </c>
    </row>
    <row r="4" customFormat="false" ht="15" hidden="false" customHeight="true" outlineLevel="0" collapsed="false">
      <c r="A4" s="49" t="s">
        <v>22</v>
      </c>
      <c r="B4" s="49" t="s">
        <v>84</v>
      </c>
      <c r="C4" s="49" t="s">
        <v>85</v>
      </c>
      <c r="D4" s="49" t="s">
        <v>86</v>
      </c>
      <c r="E4" s="49" t="s">
        <v>87</v>
      </c>
      <c r="F4" s="49" t="s">
        <v>88</v>
      </c>
    </row>
    <row r="5" customFormat="false" ht="16.5" hidden="false" customHeight="true" outlineLevel="0" collapsed="false">
      <c r="A5" s="50" t="str">
        <f aca="false">IF(指示書期限管理!A5="","",SUBSTITUTE(SUBSTITUTE(指示書期限管理!A5,"さま",""),"（サンプル）",""))</f>
        <v>山田花子</v>
      </c>
      <c r="B5" s="50" t="str">
        <f aca="false">IF($A5="","",指示書期限管理!G5)</f>
        <v>有効</v>
      </c>
      <c r="C5" s="50" t="str">
        <f aca="false">IF($A5="","",IF(指示書期限管理!M5="不要","対象外",IFERROR(VLOOKUP(指示書期限管理!A5,上限額管理表!$A:$N,14,FALSE()),"未登録")))</f>
        <v>範囲内</v>
      </c>
      <c r="D5" s="50" t="str">
        <f aca="false">IF($A5="","",IF(指示書期限管理!L5="医療保険","対象外",IFERROR(IF(LEN(VLOOKUP(指示書期限管理!A5,提供表・ケアプラン突合!$B:$D,3,FALSE()))=0,"未受領","受領済"),"未登録")))</f>
        <v>受領済</v>
      </c>
      <c r="E5" s="50" t="str">
        <f aca="true">IF($A5="","",IF(指示書期限管理!L5="医療保険","対象外",IFERROR(IF(LEN(VLOOKUP(指示書期限管理!A5,提供表・ケアプラン突合!$B:$I,7,FALSE()))=0,"未登録",IF(VLOOKUP(指示書期限管理!A5,提供表・ケアプラン突合!$B:$I,7,FALSE())&lt;TODAY(),"期限切れ","有効")),"未登録")))</f>
        <v>有効</v>
      </c>
      <c r="F5" s="50" t="str">
        <f aca="true">IF($A5="","",IF(指示書期限管理!L5="医療保険","対象外",IFERROR(IF(LEN(VLOOKUP(指示書期限管理!A5,提供表・ケアプラン突合!$B:$I,8,FALSE()))=0,"未登録",IF(VLOOKUP(指示書期限管理!A5,提供表・ケアプラン突合!$B:$I,8,FALSE())&lt;TODAY(),"期限切れ","有効")),"未登録")))</f>
        <v>有効</v>
      </c>
    </row>
    <row r="6" customFormat="false" ht="16.5" hidden="false" customHeight="true" outlineLevel="0" collapsed="false">
      <c r="A6" s="50" t="str">
        <f aca="false">IF(指示書期限管理!A6="","",SUBSTITUTE(SUBSTITUTE(指示書期限管理!A6,"さま",""),"（サンプル）",""))</f>
        <v>大城秀雄</v>
      </c>
      <c r="B6" s="50" t="str">
        <f aca="false">IF($A6="","",指示書期限管理!G6)</f>
        <v>有効</v>
      </c>
      <c r="C6" s="50" t="str">
        <f aca="false">IF($A6="","",IF(指示書期限管理!M6="不要","対象外",IFERROR(VLOOKUP(指示書期限管理!A6,上限額管理表!$A:$N,14,FALSE()),"未登録")))</f>
        <v>未登録</v>
      </c>
      <c r="D6" s="50" t="str">
        <f aca="false">IF($A6="","",IF(指示書期限管理!L6="医療保険","対象外",IFERROR(IF(LEN(VLOOKUP(指示書期限管理!A6,提供表・ケアプラン突合!$B:$D,3,FALSE()))=0,"未受領","受領済"),"未登録")))</f>
        <v>未登録</v>
      </c>
      <c r="E6" s="50" t="str">
        <f aca="true">IF($A6="","",IF(指示書期限管理!L6="医療保険","対象外",IFERROR(IF(LEN(VLOOKUP(指示書期限管理!A6,提供表・ケアプラン突合!$B:$I,7,FALSE()))=0,"未登録",IF(VLOOKUP(指示書期限管理!A6,提供表・ケアプラン突合!$B:$I,7,FALSE())&lt;TODAY(),"期限切れ","有効")),"未登録")))</f>
        <v>未登録</v>
      </c>
      <c r="F6" s="50" t="str">
        <f aca="true">IF($A6="","",IF(指示書期限管理!L6="医療保険","対象外",IFERROR(IF(LEN(VLOOKUP(指示書期限管理!A6,提供表・ケアプラン突合!$B:$I,8,FALSE()))=0,"未登録",IF(VLOOKUP(指示書期限管理!A6,提供表・ケアプラン突合!$B:$I,8,FALSE())&lt;TODAY(),"期限切れ","有効")),"未登録")))</f>
        <v>未登録</v>
      </c>
    </row>
    <row r="7" customFormat="false" ht="16.5" hidden="false" customHeight="true" outlineLevel="0" collapsed="false">
      <c r="A7" s="50" t="str">
        <f aca="false">IF(指示書期限管理!A7="","",SUBSTITUTE(SUBSTITUTE(指示書期限管理!A7,"さま",""),"（サンプル）",""))</f>
        <v>佐久川道子</v>
      </c>
      <c r="B7" s="50" t="str">
        <f aca="false">IF($A7="","",指示書期限管理!G7)</f>
        <v>要更新(30日以内)</v>
      </c>
      <c r="C7" s="50" t="str">
        <f aca="false">IF($A7="","",IF(指示書期限管理!M7="不要","対象外",IFERROR(VLOOKUP(指示書期限管理!A7,上限額管理表!$A:$N,14,FALSE()),"未登録")))</f>
        <v>未登録</v>
      </c>
      <c r="D7" s="50" t="str">
        <f aca="false">IF($A7="","",IF(指示書期限管理!L7="医療保険","対象外",IFERROR(IF(LEN(VLOOKUP(指示書期限管理!A7,提供表・ケアプラン突合!$B:$D,3,FALSE()))=0,"未受領","受領済"),"未登録")))</f>
        <v>未登録</v>
      </c>
      <c r="E7" s="50" t="str">
        <f aca="true">IF($A7="","",IF(指示書期限管理!L7="医療保険","対象外",IFERROR(IF(LEN(VLOOKUP(指示書期限管理!A7,提供表・ケアプラン突合!$B:$I,7,FALSE()))=0,"未登録",IF(VLOOKUP(指示書期限管理!A7,提供表・ケアプラン突合!$B:$I,7,FALSE())&lt;TODAY(),"期限切れ","有効")),"未登録")))</f>
        <v>未登録</v>
      </c>
      <c r="F7" s="50" t="str">
        <f aca="true">IF($A7="","",IF(指示書期限管理!L7="医療保険","対象外",IFERROR(IF(LEN(VLOOKUP(指示書期限管理!A7,提供表・ケアプラン突合!$B:$I,8,FALSE()))=0,"未登録",IF(VLOOKUP(指示書期限管理!A7,提供表・ケアプラン突合!$B:$I,8,FALSE())&lt;TODAY(),"期限切れ","有効")),"未登録")))</f>
        <v>未登録</v>
      </c>
    </row>
    <row r="8" customFormat="false" ht="15" hidden="false" customHeight="true" outlineLevel="0" collapsed="false">
      <c r="A8" s="51" t="str">
        <f aca="false">IF(指示書期限管理!A8="","",SUBSTITUTE(SUBSTITUTE(指示書期限管理!A8,"さま",""),"（サンプル）",""))</f>
        <v/>
      </c>
      <c r="B8" s="50" t="str">
        <f aca="false">IF($A8="","",指示書期限管理!G8)</f>
        <v/>
      </c>
      <c r="C8" s="50" t="str">
        <f aca="false">IF($A8="","",IF(指示書期限管理!M8="不要","対象外",IFERROR(VLOOKUP(指示書期限管理!A8,上限額管理表!$A:$N,14,FALSE()),"未登録")))</f>
        <v/>
      </c>
      <c r="D8" s="50" t="str">
        <f aca="false">IF($A8="","",IF(指示書期限管理!L8="医療保険","対象外",IFERROR(IF(LEN(VLOOKUP(指示書期限管理!A8,提供表・ケアプラン突合!$B:$D,3,FALSE()))=0,"未受領","受領済"),"未登録")))</f>
        <v/>
      </c>
      <c r="E8" s="50" t="str">
        <f aca="true">IF($A8="","",IF(指示書期限管理!L8="医療保険","対象外",IFERROR(IF(LEN(VLOOKUP(指示書期限管理!A8,提供表・ケアプラン突合!$B:$I,7,FALSE()))=0,"未登録",IF(VLOOKUP(指示書期限管理!A8,提供表・ケアプラン突合!$B:$I,7,FALSE())&lt;TODAY(),"期限切れ","有効")),"未登録")))</f>
        <v/>
      </c>
      <c r="F8" s="50" t="str">
        <f aca="true">IF($A8="","",IF(指示書期限管理!L8="医療保険","対象外",IFERROR(IF(LEN(VLOOKUP(指示書期限管理!A8,提供表・ケアプラン突合!$B:$I,8,FALSE()))=0,"未登録",IF(VLOOKUP(指示書期限管理!A8,提供表・ケアプラン突合!$B:$I,8,FALSE())&lt;TODAY(),"期限切れ","有効")),"未登録")))</f>
        <v/>
      </c>
    </row>
    <row r="9" customFormat="false" ht="15" hidden="false" customHeight="true" outlineLevel="0" collapsed="false">
      <c r="A9" s="51" t="str">
        <f aca="false">IF(指示書期限管理!A9="","",SUBSTITUTE(SUBSTITUTE(指示書期限管理!A9,"さま",""),"（サンプル）",""))</f>
        <v/>
      </c>
      <c r="B9" s="50" t="str">
        <f aca="false">IF($A9="","",指示書期限管理!G9)</f>
        <v/>
      </c>
      <c r="C9" s="50" t="str">
        <f aca="false">IF($A9="","",IF(指示書期限管理!M9="不要","対象外",IFERROR(VLOOKUP(指示書期限管理!A9,上限額管理表!$A:$N,14,FALSE()),"未登録")))</f>
        <v/>
      </c>
      <c r="D9" s="50" t="str">
        <f aca="false">IF($A9="","",IF(指示書期限管理!L9="医療保険","対象外",IFERROR(IF(LEN(VLOOKUP(指示書期限管理!A9,提供表・ケアプラン突合!$B:$D,3,FALSE()))=0,"未受領","受領済"),"未登録")))</f>
        <v/>
      </c>
      <c r="E9" s="50" t="str">
        <f aca="true">IF($A9="","",IF(指示書期限管理!L9="医療保険","対象外",IFERROR(IF(LEN(VLOOKUP(指示書期限管理!A9,提供表・ケアプラン突合!$B:$I,7,FALSE()))=0,"未登録",IF(VLOOKUP(指示書期限管理!A9,提供表・ケアプラン突合!$B:$I,7,FALSE())&lt;TODAY(),"期限切れ","有効")),"未登録")))</f>
        <v/>
      </c>
      <c r="F9" s="50" t="str">
        <f aca="true">IF($A9="","",IF(指示書期限管理!L9="医療保険","対象外",IFERROR(IF(LEN(VLOOKUP(指示書期限管理!A9,提供表・ケアプラン突合!$B:$I,8,FALSE()))=0,"未登録",IF(VLOOKUP(指示書期限管理!A9,提供表・ケアプラン突合!$B:$I,8,FALSE())&lt;TODAY(),"期限切れ","有効")),"未登録")))</f>
        <v/>
      </c>
    </row>
    <row r="10" customFormat="false" ht="15" hidden="false" customHeight="true" outlineLevel="0" collapsed="false">
      <c r="A10" s="51" t="str">
        <f aca="false">IF(指示書期限管理!A10="","",SUBSTITUTE(SUBSTITUTE(指示書期限管理!A10,"さま",""),"（サンプル）",""))</f>
        <v/>
      </c>
      <c r="B10" s="50" t="str">
        <f aca="false">IF($A10="","",指示書期限管理!G10)</f>
        <v/>
      </c>
      <c r="C10" s="50" t="str">
        <f aca="false">IF($A10="","",IF(指示書期限管理!M10="不要","対象外",IFERROR(VLOOKUP(指示書期限管理!A10,上限額管理表!$A:$N,14,FALSE()),"未登録")))</f>
        <v/>
      </c>
      <c r="D10" s="50" t="str">
        <f aca="false">IF($A10="","",IF(指示書期限管理!L10="医療保険","対象外",IFERROR(IF(LEN(VLOOKUP(指示書期限管理!A10,提供表・ケアプラン突合!$B:$D,3,FALSE()))=0,"未受領","受領済"),"未登録")))</f>
        <v/>
      </c>
      <c r="E10" s="50" t="str">
        <f aca="true">IF($A10="","",IF(指示書期限管理!L10="医療保険","対象外",IFERROR(IF(LEN(VLOOKUP(指示書期限管理!A10,提供表・ケアプラン突合!$B:$I,7,FALSE()))=0,"未登録",IF(VLOOKUP(指示書期限管理!A10,提供表・ケアプラン突合!$B:$I,7,FALSE())&lt;TODAY(),"期限切れ","有効")),"未登録")))</f>
        <v/>
      </c>
      <c r="F10" s="50" t="str">
        <f aca="true">IF($A10="","",IF(指示書期限管理!L10="医療保険","対象外",IFERROR(IF(LEN(VLOOKUP(指示書期限管理!A10,提供表・ケアプラン突合!$B:$I,8,FALSE()))=0,"未登録",IF(VLOOKUP(指示書期限管理!A10,提供表・ケアプラン突合!$B:$I,8,FALSE())&lt;TODAY(),"期限切れ","有効")),"未登録")))</f>
        <v/>
      </c>
    </row>
    <row r="11" customFormat="false" ht="15" hidden="false" customHeight="true" outlineLevel="0" collapsed="false">
      <c r="A11" s="51" t="str">
        <f aca="false">IF(指示書期限管理!A11="","",SUBSTITUTE(SUBSTITUTE(指示書期限管理!A11,"さま",""),"（サンプル）",""))</f>
        <v/>
      </c>
      <c r="B11" s="50" t="str">
        <f aca="false">IF($A11="","",指示書期限管理!G11)</f>
        <v/>
      </c>
      <c r="C11" s="50" t="str">
        <f aca="false">IF($A11="","",IF(指示書期限管理!M11="不要","対象外",IFERROR(VLOOKUP(指示書期限管理!A11,上限額管理表!$A:$N,14,FALSE()),"未登録")))</f>
        <v/>
      </c>
      <c r="D11" s="50" t="str">
        <f aca="false">IF($A11="","",IF(指示書期限管理!L11="医療保険","対象外",IFERROR(IF(LEN(VLOOKUP(指示書期限管理!A11,提供表・ケアプラン突合!$B:$D,3,FALSE()))=0,"未受領","受領済"),"未登録")))</f>
        <v/>
      </c>
      <c r="E11" s="50" t="str">
        <f aca="true">IF($A11="","",IF(指示書期限管理!L11="医療保険","対象外",IFERROR(IF(LEN(VLOOKUP(指示書期限管理!A11,提供表・ケアプラン突合!$B:$I,7,FALSE()))=0,"未登録",IF(VLOOKUP(指示書期限管理!A11,提供表・ケアプラン突合!$B:$I,7,FALSE())&lt;TODAY(),"期限切れ","有効")),"未登録")))</f>
        <v/>
      </c>
      <c r="F11" s="50" t="str">
        <f aca="true">IF($A11="","",IF(指示書期限管理!L11="医療保険","対象外",IFERROR(IF(LEN(VLOOKUP(指示書期限管理!A11,提供表・ケアプラン突合!$B:$I,8,FALSE()))=0,"未登録",IF(VLOOKUP(指示書期限管理!A11,提供表・ケアプラン突合!$B:$I,8,FALSE())&lt;TODAY(),"期限切れ","有効")),"未登録")))</f>
        <v/>
      </c>
    </row>
    <row r="12" customFormat="false" ht="15" hidden="false" customHeight="true" outlineLevel="0" collapsed="false">
      <c r="A12" s="51" t="str">
        <f aca="false">IF(指示書期限管理!A12="","",SUBSTITUTE(SUBSTITUTE(指示書期限管理!A12,"さま",""),"（サンプル）",""))</f>
        <v/>
      </c>
      <c r="B12" s="50" t="str">
        <f aca="false">IF($A12="","",指示書期限管理!G12)</f>
        <v/>
      </c>
      <c r="C12" s="50" t="str">
        <f aca="false">IF($A12="","",IF(指示書期限管理!M12="不要","対象外",IFERROR(VLOOKUP(指示書期限管理!A12,上限額管理表!$A:$N,14,FALSE()),"未登録")))</f>
        <v/>
      </c>
      <c r="D12" s="50" t="str">
        <f aca="false">IF($A12="","",IF(指示書期限管理!L12="医療保険","対象外",IFERROR(IF(LEN(VLOOKUP(指示書期限管理!A12,提供表・ケアプラン突合!$B:$D,3,FALSE()))=0,"未受領","受領済"),"未登録")))</f>
        <v/>
      </c>
      <c r="E12" s="50" t="str">
        <f aca="true">IF($A12="","",IF(指示書期限管理!L12="医療保険","対象外",IFERROR(IF(LEN(VLOOKUP(指示書期限管理!A12,提供表・ケアプラン突合!$B:$I,7,FALSE()))=0,"未登録",IF(VLOOKUP(指示書期限管理!A12,提供表・ケアプラン突合!$B:$I,7,FALSE())&lt;TODAY(),"期限切れ","有効")),"未登録")))</f>
        <v/>
      </c>
      <c r="F12" s="50" t="str">
        <f aca="true">IF($A12="","",IF(指示書期限管理!L12="医療保険","対象外",IFERROR(IF(LEN(VLOOKUP(指示書期限管理!A12,提供表・ケアプラン突合!$B:$I,8,FALSE()))=0,"未登録",IF(VLOOKUP(指示書期限管理!A12,提供表・ケアプラン突合!$B:$I,8,FALSE())&lt;TODAY(),"期限切れ","有効")),"未登録")))</f>
        <v/>
      </c>
    </row>
    <row r="13" customFormat="false" ht="15" hidden="false" customHeight="true" outlineLevel="0" collapsed="false">
      <c r="A13" s="51" t="str">
        <f aca="false">IF(指示書期限管理!A13="","",SUBSTITUTE(SUBSTITUTE(指示書期限管理!A13,"さま",""),"（サンプル）",""))</f>
        <v/>
      </c>
      <c r="B13" s="50" t="str">
        <f aca="false">IF($A13="","",指示書期限管理!G13)</f>
        <v/>
      </c>
      <c r="C13" s="50" t="str">
        <f aca="false">IF($A13="","",IF(指示書期限管理!M13="不要","対象外",IFERROR(VLOOKUP(指示書期限管理!A13,上限額管理表!$A:$N,14,FALSE()),"未登録")))</f>
        <v/>
      </c>
      <c r="D13" s="50" t="str">
        <f aca="false">IF($A13="","",IF(指示書期限管理!L13="医療保険","対象外",IFERROR(IF(LEN(VLOOKUP(指示書期限管理!A13,提供表・ケアプラン突合!$B:$D,3,FALSE()))=0,"未受領","受領済"),"未登録")))</f>
        <v/>
      </c>
      <c r="E13" s="50" t="str">
        <f aca="true">IF($A13="","",IF(指示書期限管理!L13="医療保険","対象外",IFERROR(IF(LEN(VLOOKUP(指示書期限管理!A13,提供表・ケアプラン突合!$B:$I,7,FALSE()))=0,"未登録",IF(VLOOKUP(指示書期限管理!A13,提供表・ケアプラン突合!$B:$I,7,FALSE())&lt;TODAY(),"期限切れ","有効")),"未登録")))</f>
        <v/>
      </c>
      <c r="F13" s="50" t="str">
        <f aca="true">IF($A13="","",IF(指示書期限管理!L13="医療保険","対象外",IFERROR(IF(LEN(VLOOKUP(指示書期限管理!A13,提供表・ケアプラン突合!$B:$I,8,FALSE()))=0,"未登録",IF(VLOOKUP(指示書期限管理!A13,提供表・ケアプラン突合!$B:$I,8,FALSE())&lt;TODAY(),"期限切れ","有効")),"未登録")))</f>
        <v/>
      </c>
    </row>
    <row r="14" customFormat="false" ht="15" hidden="false" customHeight="true" outlineLevel="0" collapsed="false">
      <c r="A14" s="51" t="str">
        <f aca="false">IF(指示書期限管理!A14="","",SUBSTITUTE(SUBSTITUTE(指示書期限管理!A14,"さま",""),"（サンプル）",""))</f>
        <v/>
      </c>
      <c r="B14" s="50" t="str">
        <f aca="false">IF($A14="","",指示書期限管理!G14)</f>
        <v/>
      </c>
      <c r="C14" s="50" t="str">
        <f aca="false">IF($A14="","",IF(指示書期限管理!M14="不要","対象外",IFERROR(VLOOKUP(指示書期限管理!A14,上限額管理表!$A:$N,14,FALSE()),"未登録")))</f>
        <v/>
      </c>
      <c r="D14" s="50" t="str">
        <f aca="false">IF($A14="","",IF(指示書期限管理!L14="医療保険","対象外",IFERROR(IF(LEN(VLOOKUP(指示書期限管理!A14,提供表・ケアプラン突合!$B:$D,3,FALSE()))=0,"未受領","受領済"),"未登録")))</f>
        <v/>
      </c>
      <c r="E14" s="50" t="str">
        <f aca="true">IF($A14="","",IF(指示書期限管理!L14="医療保険","対象外",IFERROR(IF(LEN(VLOOKUP(指示書期限管理!A14,提供表・ケアプラン突合!$B:$I,7,FALSE()))=0,"未登録",IF(VLOOKUP(指示書期限管理!A14,提供表・ケアプラン突合!$B:$I,7,FALSE())&lt;TODAY(),"期限切れ","有効")),"未登録")))</f>
        <v/>
      </c>
      <c r="F14" s="50" t="str">
        <f aca="true">IF($A14="","",IF(指示書期限管理!L14="医療保険","対象外",IFERROR(IF(LEN(VLOOKUP(指示書期限管理!A14,提供表・ケアプラン突合!$B:$I,8,FALSE()))=0,"未登録",IF(VLOOKUP(指示書期限管理!A14,提供表・ケアプラン突合!$B:$I,8,FALSE())&lt;TODAY(),"期限切れ","有効")),"未登録")))</f>
        <v/>
      </c>
    </row>
    <row r="15" customFormat="false" ht="15" hidden="false" customHeight="true" outlineLevel="0" collapsed="false">
      <c r="A15" s="51" t="str">
        <f aca="false">IF(指示書期限管理!A15="","",SUBSTITUTE(SUBSTITUTE(指示書期限管理!A15,"さま",""),"（サンプル）",""))</f>
        <v/>
      </c>
      <c r="B15" s="50" t="str">
        <f aca="false">IF($A15="","",指示書期限管理!G15)</f>
        <v/>
      </c>
      <c r="C15" s="50" t="str">
        <f aca="false">IF($A15="","",IF(指示書期限管理!M15="不要","対象外",IFERROR(VLOOKUP(指示書期限管理!A15,上限額管理表!$A:$N,14,FALSE()),"未登録")))</f>
        <v/>
      </c>
      <c r="D15" s="50" t="str">
        <f aca="false">IF($A15="","",IF(指示書期限管理!L15="医療保険","対象外",IFERROR(IF(LEN(VLOOKUP(指示書期限管理!A15,提供表・ケアプラン突合!$B:$D,3,FALSE()))=0,"未受領","受領済"),"未登録")))</f>
        <v/>
      </c>
      <c r="E15" s="50" t="str">
        <f aca="true">IF($A15="","",IF(指示書期限管理!L15="医療保険","対象外",IFERROR(IF(LEN(VLOOKUP(指示書期限管理!A15,提供表・ケアプラン突合!$B:$I,7,FALSE()))=0,"未登録",IF(VLOOKUP(指示書期限管理!A15,提供表・ケアプラン突合!$B:$I,7,FALSE())&lt;TODAY(),"期限切れ","有効")),"未登録")))</f>
        <v/>
      </c>
      <c r="F15" s="50" t="str">
        <f aca="true">IF($A15="","",IF(指示書期限管理!L15="医療保険","対象外",IFERROR(IF(LEN(VLOOKUP(指示書期限管理!A15,提供表・ケアプラン突合!$B:$I,8,FALSE()))=0,"未登録",IF(VLOOKUP(指示書期限管理!A15,提供表・ケアプラン突合!$B:$I,8,FALSE())&lt;TODAY(),"期限切れ","有効")),"未登録")))</f>
        <v/>
      </c>
    </row>
    <row r="16" customFormat="false" ht="15" hidden="false" customHeight="true" outlineLevel="0" collapsed="false">
      <c r="A16" s="51" t="str">
        <f aca="false">IF(指示書期限管理!A16="","",SUBSTITUTE(SUBSTITUTE(指示書期限管理!A16,"さま",""),"（サンプル）",""))</f>
        <v/>
      </c>
      <c r="B16" s="50" t="str">
        <f aca="false">IF($A16="","",指示書期限管理!G16)</f>
        <v/>
      </c>
      <c r="C16" s="50" t="str">
        <f aca="false">IF($A16="","",IF(指示書期限管理!M16="不要","対象外",IFERROR(VLOOKUP(指示書期限管理!A16,上限額管理表!$A:$N,14,FALSE()),"未登録")))</f>
        <v/>
      </c>
      <c r="D16" s="50" t="str">
        <f aca="false">IF($A16="","",IF(指示書期限管理!L16="医療保険","対象外",IFERROR(IF(LEN(VLOOKUP(指示書期限管理!A16,提供表・ケアプラン突合!$B:$D,3,FALSE()))=0,"未受領","受領済"),"未登録")))</f>
        <v/>
      </c>
      <c r="E16" s="50" t="str">
        <f aca="true">IF($A16="","",IF(指示書期限管理!L16="医療保険","対象外",IFERROR(IF(LEN(VLOOKUP(指示書期限管理!A16,提供表・ケアプラン突合!$B:$I,7,FALSE()))=0,"未登録",IF(VLOOKUP(指示書期限管理!A16,提供表・ケアプラン突合!$B:$I,7,FALSE())&lt;TODAY(),"期限切れ","有効")),"未登録")))</f>
        <v/>
      </c>
      <c r="F16" s="50" t="str">
        <f aca="true">IF($A16="","",IF(指示書期限管理!L16="医療保険","対象外",IFERROR(IF(LEN(VLOOKUP(指示書期限管理!A16,提供表・ケアプラン突合!$B:$I,8,FALSE()))=0,"未登録",IF(VLOOKUP(指示書期限管理!A16,提供表・ケアプラン突合!$B:$I,8,FALSE())&lt;TODAY(),"期限切れ","有効")),"未登録")))</f>
        <v/>
      </c>
    </row>
    <row r="17" customFormat="false" ht="15" hidden="false" customHeight="true" outlineLevel="0" collapsed="false">
      <c r="A17" s="51" t="str">
        <f aca="false">IF(指示書期限管理!A17="","",SUBSTITUTE(SUBSTITUTE(指示書期限管理!A17,"さま",""),"（サンプル）",""))</f>
        <v/>
      </c>
      <c r="B17" s="50" t="str">
        <f aca="false">IF($A17="","",指示書期限管理!G17)</f>
        <v/>
      </c>
      <c r="C17" s="50" t="str">
        <f aca="false">IF($A17="","",IF(指示書期限管理!M17="不要","対象外",IFERROR(VLOOKUP(指示書期限管理!A17,上限額管理表!$A:$N,14,FALSE()),"未登録")))</f>
        <v/>
      </c>
      <c r="D17" s="50" t="str">
        <f aca="false">IF($A17="","",IF(指示書期限管理!L17="医療保険","対象外",IFERROR(IF(LEN(VLOOKUP(指示書期限管理!A17,提供表・ケアプラン突合!$B:$D,3,FALSE()))=0,"未受領","受領済"),"未登録")))</f>
        <v/>
      </c>
      <c r="E17" s="50" t="str">
        <f aca="true">IF($A17="","",IF(指示書期限管理!L17="医療保険","対象外",IFERROR(IF(LEN(VLOOKUP(指示書期限管理!A17,提供表・ケアプラン突合!$B:$I,7,FALSE()))=0,"未登録",IF(VLOOKUP(指示書期限管理!A17,提供表・ケアプラン突合!$B:$I,7,FALSE())&lt;TODAY(),"期限切れ","有効")),"未登録")))</f>
        <v/>
      </c>
      <c r="F17" s="50" t="str">
        <f aca="true">IF($A17="","",IF(指示書期限管理!L17="医療保険","対象外",IFERROR(IF(LEN(VLOOKUP(指示書期限管理!A17,提供表・ケアプラン突合!$B:$I,8,FALSE()))=0,"未登録",IF(VLOOKUP(指示書期限管理!A17,提供表・ケアプラン突合!$B:$I,8,FALSE())&lt;TODAY(),"期限切れ","有効")),"未登録")))</f>
        <v/>
      </c>
    </row>
    <row r="18" customFormat="false" ht="15" hidden="false" customHeight="true" outlineLevel="0" collapsed="false">
      <c r="A18" s="51" t="str">
        <f aca="false">IF(指示書期限管理!A18="","",SUBSTITUTE(SUBSTITUTE(指示書期限管理!A18,"さま",""),"（サンプル）",""))</f>
        <v/>
      </c>
      <c r="B18" s="50" t="str">
        <f aca="false">IF($A18="","",指示書期限管理!G18)</f>
        <v/>
      </c>
      <c r="C18" s="50" t="str">
        <f aca="false">IF($A18="","",IF(指示書期限管理!M18="不要","対象外",IFERROR(VLOOKUP(指示書期限管理!A18,上限額管理表!$A:$N,14,FALSE()),"未登録")))</f>
        <v/>
      </c>
      <c r="D18" s="50" t="str">
        <f aca="false">IF($A18="","",IF(指示書期限管理!L18="医療保険","対象外",IFERROR(IF(LEN(VLOOKUP(指示書期限管理!A18,提供表・ケアプラン突合!$B:$D,3,FALSE()))=0,"未受領","受領済"),"未登録")))</f>
        <v/>
      </c>
      <c r="E18" s="50" t="str">
        <f aca="true">IF($A18="","",IF(指示書期限管理!L18="医療保険","対象外",IFERROR(IF(LEN(VLOOKUP(指示書期限管理!A18,提供表・ケアプラン突合!$B:$I,7,FALSE()))=0,"未登録",IF(VLOOKUP(指示書期限管理!A18,提供表・ケアプラン突合!$B:$I,7,FALSE())&lt;TODAY(),"期限切れ","有効")),"未登録")))</f>
        <v/>
      </c>
      <c r="F18" s="50" t="str">
        <f aca="true">IF($A18="","",IF(指示書期限管理!L18="医療保険","対象外",IFERROR(IF(LEN(VLOOKUP(指示書期限管理!A18,提供表・ケアプラン突合!$B:$I,8,FALSE()))=0,"未登録",IF(VLOOKUP(指示書期限管理!A18,提供表・ケアプラン突合!$B:$I,8,FALSE())&lt;TODAY(),"期限切れ","有効")),"未登録")))</f>
        <v/>
      </c>
    </row>
    <row r="19" customFormat="false" ht="15" hidden="false" customHeight="true" outlineLevel="0" collapsed="false">
      <c r="A19" s="51" t="str">
        <f aca="false">IF(指示書期限管理!A19="","",SUBSTITUTE(SUBSTITUTE(指示書期限管理!A19,"さま",""),"（サンプル）",""))</f>
        <v/>
      </c>
      <c r="B19" s="50" t="str">
        <f aca="false">IF($A19="","",指示書期限管理!G19)</f>
        <v/>
      </c>
      <c r="C19" s="50" t="str">
        <f aca="false">IF($A19="","",IF(指示書期限管理!M19="不要","対象外",IFERROR(VLOOKUP(指示書期限管理!A19,上限額管理表!$A:$N,14,FALSE()),"未登録")))</f>
        <v/>
      </c>
      <c r="D19" s="50" t="str">
        <f aca="false">IF($A19="","",IF(指示書期限管理!L19="医療保険","対象外",IFERROR(IF(LEN(VLOOKUP(指示書期限管理!A19,提供表・ケアプラン突合!$B:$D,3,FALSE()))=0,"未受領","受領済"),"未登録")))</f>
        <v/>
      </c>
      <c r="E19" s="50" t="str">
        <f aca="true">IF($A19="","",IF(指示書期限管理!L19="医療保険","対象外",IFERROR(IF(LEN(VLOOKUP(指示書期限管理!A19,提供表・ケアプラン突合!$B:$I,7,FALSE()))=0,"未登録",IF(VLOOKUP(指示書期限管理!A19,提供表・ケアプラン突合!$B:$I,7,FALSE())&lt;TODAY(),"期限切れ","有効")),"未登録")))</f>
        <v/>
      </c>
      <c r="F19" s="50" t="str">
        <f aca="true">IF($A19="","",IF(指示書期限管理!L19="医療保険","対象外",IFERROR(IF(LEN(VLOOKUP(指示書期限管理!A19,提供表・ケアプラン突合!$B:$I,8,FALSE()))=0,"未登録",IF(VLOOKUP(指示書期限管理!A19,提供表・ケアプラン突合!$B:$I,8,FALSE())&lt;TODAY(),"期限切れ","有効")),"未登録")))</f>
        <v/>
      </c>
    </row>
    <row r="20" customFormat="false" ht="15" hidden="false" customHeight="true" outlineLevel="0" collapsed="false">
      <c r="A20" s="51" t="str">
        <f aca="false">IF(指示書期限管理!A20="","",SUBSTITUTE(SUBSTITUTE(指示書期限管理!A20,"さま",""),"（サンプル）",""))</f>
        <v/>
      </c>
      <c r="B20" s="50" t="str">
        <f aca="false">IF($A20="","",指示書期限管理!G20)</f>
        <v/>
      </c>
      <c r="C20" s="50" t="str">
        <f aca="false">IF($A20="","",IF(指示書期限管理!M20="不要","対象外",IFERROR(VLOOKUP(指示書期限管理!A20,上限額管理表!$A:$N,14,FALSE()),"未登録")))</f>
        <v/>
      </c>
      <c r="D20" s="50" t="str">
        <f aca="false">IF($A20="","",IF(指示書期限管理!L20="医療保険","対象外",IFERROR(IF(LEN(VLOOKUP(指示書期限管理!A20,提供表・ケアプラン突合!$B:$D,3,FALSE()))=0,"未受領","受領済"),"未登録")))</f>
        <v/>
      </c>
      <c r="E20" s="50" t="str">
        <f aca="true">IF($A20="","",IF(指示書期限管理!L20="医療保険","対象外",IFERROR(IF(LEN(VLOOKUP(指示書期限管理!A20,提供表・ケアプラン突合!$B:$I,7,FALSE()))=0,"未登録",IF(VLOOKUP(指示書期限管理!A20,提供表・ケアプラン突合!$B:$I,7,FALSE())&lt;TODAY(),"期限切れ","有効")),"未登録")))</f>
        <v/>
      </c>
      <c r="F20" s="50" t="str">
        <f aca="true">IF($A20="","",IF(指示書期限管理!L20="医療保険","対象外",IFERROR(IF(LEN(VLOOKUP(指示書期限管理!A20,提供表・ケアプラン突合!$B:$I,8,FALSE()))=0,"未登録",IF(VLOOKUP(指示書期限管理!A20,提供表・ケアプラン突合!$B:$I,8,FALSE())&lt;TODAY(),"期限切れ","有効")),"未登録")))</f>
        <v/>
      </c>
    </row>
    <row r="21" customFormat="false" ht="15" hidden="false" customHeight="true" outlineLevel="0" collapsed="false">
      <c r="A21" s="51" t="str">
        <f aca="false">IF(指示書期限管理!A21="","",SUBSTITUTE(SUBSTITUTE(指示書期限管理!A21,"さま",""),"（サンプル）",""))</f>
        <v/>
      </c>
      <c r="B21" s="50" t="str">
        <f aca="false">IF($A21="","",指示書期限管理!G21)</f>
        <v/>
      </c>
      <c r="C21" s="50" t="str">
        <f aca="false">IF($A21="","",IF(指示書期限管理!M21="不要","対象外",IFERROR(VLOOKUP(指示書期限管理!A21,上限額管理表!$A:$N,14,FALSE()),"未登録")))</f>
        <v/>
      </c>
      <c r="D21" s="50" t="str">
        <f aca="false">IF($A21="","",IF(指示書期限管理!L21="医療保険","対象外",IFERROR(IF(LEN(VLOOKUP(指示書期限管理!A21,提供表・ケアプラン突合!$B:$D,3,FALSE()))=0,"未受領","受領済"),"未登録")))</f>
        <v/>
      </c>
      <c r="E21" s="50" t="str">
        <f aca="true">IF($A21="","",IF(指示書期限管理!L21="医療保険","対象外",IFERROR(IF(LEN(VLOOKUP(指示書期限管理!A21,提供表・ケアプラン突合!$B:$I,7,FALSE()))=0,"未登録",IF(VLOOKUP(指示書期限管理!A21,提供表・ケアプラン突合!$B:$I,7,FALSE())&lt;TODAY(),"期限切れ","有効")),"未登録")))</f>
        <v/>
      </c>
      <c r="F21" s="50" t="str">
        <f aca="true">IF($A21="","",IF(指示書期限管理!L21="医療保険","対象外",IFERROR(IF(LEN(VLOOKUP(指示書期限管理!A21,提供表・ケアプラン突合!$B:$I,8,FALSE()))=0,"未登録",IF(VLOOKUP(指示書期限管理!A21,提供表・ケアプラン突合!$B:$I,8,FALSE())&lt;TODAY(),"期限切れ","有効")),"未登録")))</f>
        <v/>
      </c>
    </row>
    <row r="22" customFormat="false" ht="15" hidden="false" customHeight="true" outlineLevel="0" collapsed="false">
      <c r="A22" s="51" t="str">
        <f aca="false">IF(指示書期限管理!A22="","",SUBSTITUTE(SUBSTITUTE(指示書期限管理!A22,"さま",""),"（サンプル）",""))</f>
        <v/>
      </c>
      <c r="B22" s="50" t="str">
        <f aca="false">IF($A22="","",指示書期限管理!G22)</f>
        <v/>
      </c>
      <c r="C22" s="50" t="str">
        <f aca="false">IF($A22="","",IF(指示書期限管理!M22="不要","対象外",IFERROR(VLOOKUP(指示書期限管理!A22,上限額管理表!$A:$N,14,FALSE()),"未登録")))</f>
        <v/>
      </c>
      <c r="D22" s="50" t="str">
        <f aca="false">IF($A22="","",IF(指示書期限管理!L22="医療保険","対象外",IFERROR(IF(LEN(VLOOKUP(指示書期限管理!A22,提供表・ケアプラン突合!$B:$D,3,FALSE()))=0,"未受領","受領済"),"未登録")))</f>
        <v/>
      </c>
      <c r="E22" s="50" t="str">
        <f aca="true">IF($A22="","",IF(指示書期限管理!L22="医療保険","対象外",IFERROR(IF(LEN(VLOOKUP(指示書期限管理!A22,提供表・ケアプラン突合!$B:$I,7,FALSE()))=0,"未登録",IF(VLOOKUP(指示書期限管理!A22,提供表・ケアプラン突合!$B:$I,7,FALSE())&lt;TODAY(),"期限切れ","有効")),"未登録")))</f>
        <v/>
      </c>
      <c r="F22" s="50" t="str">
        <f aca="true">IF($A22="","",IF(指示書期限管理!L22="医療保険","対象外",IFERROR(IF(LEN(VLOOKUP(指示書期限管理!A22,提供表・ケアプラン突合!$B:$I,8,FALSE()))=0,"未登録",IF(VLOOKUP(指示書期限管理!A22,提供表・ケアプラン突合!$B:$I,8,FALSE())&lt;TODAY(),"期限切れ","有効")),"未登録")))</f>
        <v/>
      </c>
    </row>
    <row r="23" customFormat="false" ht="15" hidden="false" customHeight="true" outlineLevel="0" collapsed="false">
      <c r="A23" s="51" t="str">
        <f aca="false">IF(指示書期限管理!A23="","",SUBSTITUTE(SUBSTITUTE(指示書期限管理!A23,"さま",""),"（サンプル）",""))</f>
        <v/>
      </c>
      <c r="B23" s="50" t="str">
        <f aca="false">IF($A23="","",指示書期限管理!G23)</f>
        <v/>
      </c>
      <c r="C23" s="50" t="str">
        <f aca="false">IF($A23="","",IF(指示書期限管理!M23="不要","対象外",IFERROR(VLOOKUP(指示書期限管理!A23,上限額管理表!$A:$N,14,FALSE()),"未登録")))</f>
        <v/>
      </c>
      <c r="D23" s="50" t="str">
        <f aca="false">IF($A23="","",IF(指示書期限管理!L23="医療保険","対象外",IFERROR(IF(LEN(VLOOKUP(指示書期限管理!A23,提供表・ケアプラン突合!$B:$D,3,FALSE()))=0,"未受領","受領済"),"未登録")))</f>
        <v/>
      </c>
      <c r="E23" s="50" t="str">
        <f aca="true">IF($A23="","",IF(指示書期限管理!L23="医療保険","対象外",IFERROR(IF(LEN(VLOOKUP(指示書期限管理!A23,提供表・ケアプラン突合!$B:$I,7,FALSE()))=0,"未登録",IF(VLOOKUP(指示書期限管理!A23,提供表・ケアプラン突合!$B:$I,7,FALSE())&lt;TODAY(),"期限切れ","有効")),"未登録")))</f>
        <v/>
      </c>
      <c r="F23" s="50" t="str">
        <f aca="true">IF($A23="","",IF(指示書期限管理!L23="医療保険","対象外",IFERROR(IF(LEN(VLOOKUP(指示書期限管理!A23,提供表・ケアプラン突合!$B:$I,8,FALSE()))=0,"未登録",IF(VLOOKUP(指示書期限管理!A23,提供表・ケアプラン突合!$B:$I,8,FALSE())&lt;TODAY(),"期限切れ","有効")),"未登録")))</f>
        <v/>
      </c>
    </row>
    <row r="24" customFormat="false" ht="15" hidden="false" customHeight="true" outlineLevel="0" collapsed="false">
      <c r="A24" s="51" t="str">
        <f aca="false">IF(指示書期限管理!A24="","",SUBSTITUTE(SUBSTITUTE(指示書期限管理!A24,"さま",""),"（サンプル）",""))</f>
        <v/>
      </c>
      <c r="B24" s="50" t="str">
        <f aca="false">IF($A24="","",指示書期限管理!G24)</f>
        <v/>
      </c>
      <c r="C24" s="50" t="str">
        <f aca="false">IF($A24="","",IF(指示書期限管理!M24="不要","対象外",IFERROR(VLOOKUP(指示書期限管理!A24,上限額管理表!$A:$N,14,FALSE()),"未登録")))</f>
        <v/>
      </c>
      <c r="D24" s="50" t="str">
        <f aca="false">IF($A24="","",IF(指示書期限管理!L24="医療保険","対象外",IFERROR(IF(LEN(VLOOKUP(指示書期限管理!A24,提供表・ケアプラン突合!$B:$D,3,FALSE()))=0,"未受領","受領済"),"未登録")))</f>
        <v/>
      </c>
      <c r="E24" s="50" t="str">
        <f aca="true">IF($A24="","",IF(指示書期限管理!L24="医療保険","対象外",IFERROR(IF(LEN(VLOOKUP(指示書期限管理!A24,提供表・ケアプラン突合!$B:$I,7,FALSE()))=0,"未登録",IF(VLOOKUP(指示書期限管理!A24,提供表・ケアプラン突合!$B:$I,7,FALSE())&lt;TODAY(),"期限切れ","有効")),"未登録")))</f>
        <v/>
      </c>
      <c r="F24" s="50" t="str">
        <f aca="true">IF($A24="","",IF(指示書期限管理!L24="医療保険","対象外",IFERROR(IF(LEN(VLOOKUP(指示書期限管理!A24,提供表・ケアプラン突合!$B:$I,8,FALSE()))=0,"未登録",IF(VLOOKUP(指示書期限管理!A24,提供表・ケアプラン突合!$B:$I,8,FALSE())&lt;TODAY(),"期限切れ","有効")),"未登録")))</f>
        <v/>
      </c>
    </row>
    <row r="25" customFormat="false" ht="15" hidden="false" customHeight="true" outlineLevel="0" collapsed="false">
      <c r="A25" s="51" t="str">
        <f aca="false">IF(指示書期限管理!A25="","",SUBSTITUTE(SUBSTITUTE(指示書期限管理!A25,"さま",""),"（サンプル）",""))</f>
        <v/>
      </c>
      <c r="B25" s="50" t="str">
        <f aca="false">IF($A25="","",指示書期限管理!G25)</f>
        <v/>
      </c>
      <c r="C25" s="50" t="str">
        <f aca="false">IF($A25="","",IF(指示書期限管理!M25="不要","対象外",IFERROR(VLOOKUP(指示書期限管理!A25,上限額管理表!$A:$N,14,FALSE()),"未登録")))</f>
        <v/>
      </c>
      <c r="D25" s="50" t="str">
        <f aca="false">IF($A25="","",IF(指示書期限管理!L25="医療保険","対象外",IFERROR(IF(LEN(VLOOKUP(指示書期限管理!A25,提供表・ケアプラン突合!$B:$D,3,FALSE()))=0,"未受領","受領済"),"未登録")))</f>
        <v/>
      </c>
      <c r="E25" s="50" t="str">
        <f aca="true">IF($A25="","",IF(指示書期限管理!L25="医療保険","対象外",IFERROR(IF(LEN(VLOOKUP(指示書期限管理!A25,提供表・ケアプラン突合!$B:$I,7,FALSE()))=0,"未登録",IF(VLOOKUP(指示書期限管理!A25,提供表・ケアプラン突合!$B:$I,7,FALSE())&lt;TODAY(),"期限切れ","有効")),"未登録")))</f>
        <v/>
      </c>
      <c r="F25" s="50" t="str">
        <f aca="true">IF($A25="","",IF(指示書期限管理!L25="医療保険","対象外",IFERROR(IF(LEN(VLOOKUP(指示書期限管理!A25,提供表・ケアプラン突合!$B:$I,8,FALSE()))=0,"未登録",IF(VLOOKUP(指示書期限管理!A25,提供表・ケアプラン突合!$B:$I,8,FALSE())&lt;TODAY(),"期限切れ","有効")),"未登録")))</f>
        <v/>
      </c>
    </row>
    <row r="26" customFormat="false" ht="15" hidden="false" customHeight="true" outlineLevel="0" collapsed="false">
      <c r="A26" s="51" t="str">
        <f aca="false">IF(指示書期限管理!A26="","",SUBSTITUTE(SUBSTITUTE(指示書期限管理!A26,"さま",""),"（サンプル）",""))</f>
        <v/>
      </c>
      <c r="B26" s="50" t="str">
        <f aca="false">IF($A26="","",指示書期限管理!G26)</f>
        <v/>
      </c>
      <c r="C26" s="50" t="str">
        <f aca="false">IF($A26="","",IF(指示書期限管理!M26="不要","対象外",IFERROR(VLOOKUP(指示書期限管理!A26,上限額管理表!$A:$N,14,FALSE()),"未登録")))</f>
        <v/>
      </c>
      <c r="D26" s="50" t="str">
        <f aca="false">IF($A26="","",IF(指示書期限管理!L26="医療保険","対象外",IFERROR(IF(LEN(VLOOKUP(指示書期限管理!A26,提供表・ケアプラン突合!$B:$D,3,FALSE()))=0,"未受領","受領済"),"未登録")))</f>
        <v/>
      </c>
      <c r="E26" s="50" t="str">
        <f aca="true">IF($A26="","",IF(指示書期限管理!L26="医療保険","対象外",IFERROR(IF(LEN(VLOOKUP(指示書期限管理!A26,提供表・ケアプラン突合!$B:$I,7,FALSE()))=0,"未登録",IF(VLOOKUP(指示書期限管理!A26,提供表・ケアプラン突合!$B:$I,7,FALSE())&lt;TODAY(),"期限切れ","有効")),"未登録")))</f>
        <v/>
      </c>
      <c r="F26" s="50" t="str">
        <f aca="true">IF($A26="","",IF(指示書期限管理!L26="医療保険","対象外",IFERROR(IF(LEN(VLOOKUP(指示書期限管理!A26,提供表・ケアプラン突合!$B:$I,8,FALSE()))=0,"未登録",IF(VLOOKUP(指示書期限管理!A26,提供表・ケアプラン突合!$B:$I,8,FALSE())&lt;TODAY(),"期限切れ","有効")),"未登録")))</f>
        <v/>
      </c>
    </row>
    <row r="27" customFormat="false" ht="15" hidden="false" customHeight="true" outlineLevel="0" collapsed="false">
      <c r="A27" s="51" t="str">
        <f aca="false">IF(指示書期限管理!A27="","",SUBSTITUTE(SUBSTITUTE(指示書期限管理!A27,"さま",""),"（サンプル）",""))</f>
        <v/>
      </c>
      <c r="B27" s="50" t="str">
        <f aca="false">IF($A27="","",指示書期限管理!G27)</f>
        <v/>
      </c>
      <c r="C27" s="50" t="str">
        <f aca="false">IF($A27="","",IF(指示書期限管理!M27="不要","対象外",IFERROR(VLOOKUP(指示書期限管理!A27,上限額管理表!$A:$N,14,FALSE()),"未登録")))</f>
        <v/>
      </c>
      <c r="D27" s="50" t="str">
        <f aca="false">IF($A27="","",IF(指示書期限管理!L27="医療保険","対象外",IFERROR(IF(LEN(VLOOKUP(指示書期限管理!A27,提供表・ケアプラン突合!$B:$D,3,FALSE()))=0,"未受領","受領済"),"未登録")))</f>
        <v/>
      </c>
      <c r="E27" s="50" t="str">
        <f aca="true">IF($A27="","",IF(指示書期限管理!L27="医療保険","対象外",IFERROR(IF(LEN(VLOOKUP(指示書期限管理!A27,提供表・ケアプラン突合!$B:$I,7,FALSE()))=0,"未登録",IF(VLOOKUP(指示書期限管理!A27,提供表・ケアプラン突合!$B:$I,7,FALSE())&lt;TODAY(),"期限切れ","有効")),"未登録")))</f>
        <v/>
      </c>
      <c r="F27" s="50" t="str">
        <f aca="true">IF($A27="","",IF(指示書期限管理!L27="医療保険","対象外",IFERROR(IF(LEN(VLOOKUP(指示書期限管理!A27,提供表・ケアプラン突合!$B:$I,8,FALSE()))=0,"未登録",IF(VLOOKUP(指示書期限管理!A27,提供表・ケアプラン突合!$B:$I,8,FALSE())&lt;TODAY(),"期限切れ","有効")),"未登録")))</f>
        <v/>
      </c>
    </row>
    <row r="28" customFormat="false" ht="15" hidden="false" customHeight="true" outlineLevel="0" collapsed="false">
      <c r="A28" s="51" t="str">
        <f aca="false">IF(指示書期限管理!A28="","",SUBSTITUTE(SUBSTITUTE(指示書期限管理!A28,"さま",""),"（サンプル）",""))</f>
        <v/>
      </c>
      <c r="B28" s="50" t="str">
        <f aca="false">IF($A28="","",指示書期限管理!G28)</f>
        <v/>
      </c>
      <c r="C28" s="50" t="str">
        <f aca="false">IF($A28="","",IF(指示書期限管理!M28="不要","対象外",IFERROR(VLOOKUP(指示書期限管理!A28,上限額管理表!$A:$N,14,FALSE()),"未登録")))</f>
        <v/>
      </c>
      <c r="D28" s="50" t="str">
        <f aca="false">IF($A28="","",IF(指示書期限管理!L28="医療保険","対象外",IFERROR(IF(LEN(VLOOKUP(指示書期限管理!A28,提供表・ケアプラン突合!$B:$D,3,FALSE()))=0,"未受領","受領済"),"未登録")))</f>
        <v/>
      </c>
      <c r="E28" s="50" t="str">
        <f aca="true">IF($A28="","",IF(指示書期限管理!L28="医療保険","対象外",IFERROR(IF(LEN(VLOOKUP(指示書期限管理!A28,提供表・ケアプラン突合!$B:$I,7,FALSE()))=0,"未登録",IF(VLOOKUP(指示書期限管理!A28,提供表・ケアプラン突合!$B:$I,7,FALSE())&lt;TODAY(),"期限切れ","有効")),"未登録")))</f>
        <v/>
      </c>
      <c r="F28" s="50" t="str">
        <f aca="true">IF($A28="","",IF(指示書期限管理!L28="医療保険","対象外",IFERROR(IF(LEN(VLOOKUP(指示書期限管理!A28,提供表・ケアプラン突合!$B:$I,8,FALSE()))=0,"未登録",IF(VLOOKUP(指示書期限管理!A28,提供表・ケアプラン突合!$B:$I,8,FALSE())&lt;TODAY(),"期限切れ","有効")),"未登録")))</f>
        <v/>
      </c>
    </row>
    <row r="29" customFormat="false" ht="15" hidden="false" customHeight="true" outlineLevel="0" collapsed="false">
      <c r="A29" s="51" t="str">
        <f aca="false">IF(指示書期限管理!A29="","",SUBSTITUTE(SUBSTITUTE(指示書期限管理!A29,"さま",""),"（サンプル）",""))</f>
        <v/>
      </c>
      <c r="B29" s="50" t="str">
        <f aca="false">IF($A29="","",指示書期限管理!G29)</f>
        <v/>
      </c>
      <c r="C29" s="50" t="str">
        <f aca="false">IF($A29="","",IF(指示書期限管理!M29="不要","対象外",IFERROR(VLOOKUP(指示書期限管理!A29,上限額管理表!$A:$N,14,FALSE()),"未登録")))</f>
        <v/>
      </c>
      <c r="D29" s="50" t="str">
        <f aca="false">IF($A29="","",IF(指示書期限管理!L29="医療保険","対象外",IFERROR(IF(LEN(VLOOKUP(指示書期限管理!A29,提供表・ケアプラン突合!$B:$D,3,FALSE()))=0,"未受領","受領済"),"未登録")))</f>
        <v/>
      </c>
      <c r="E29" s="50" t="str">
        <f aca="true">IF($A29="","",IF(指示書期限管理!L29="医療保険","対象外",IFERROR(IF(LEN(VLOOKUP(指示書期限管理!A29,提供表・ケアプラン突合!$B:$I,7,FALSE()))=0,"未登録",IF(VLOOKUP(指示書期限管理!A29,提供表・ケアプラン突合!$B:$I,7,FALSE())&lt;TODAY(),"期限切れ","有効")),"未登録")))</f>
        <v/>
      </c>
      <c r="F29" s="50" t="str">
        <f aca="true">IF($A29="","",IF(指示書期限管理!L29="医療保険","対象外",IFERROR(IF(LEN(VLOOKUP(指示書期限管理!A29,提供表・ケアプラン突合!$B:$I,8,FALSE()))=0,"未登録",IF(VLOOKUP(指示書期限管理!A29,提供表・ケアプラン突合!$B:$I,8,FALSE())&lt;TODAY(),"期限切れ","有効")),"未登録")))</f>
        <v/>
      </c>
    </row>
    <row r="30" customFormat="false" ht="15" hidden="false" customHeight="true" outlineLevel="0" collapsed="false">
      <c r="A30" s="51" t="str">
        <f aca="false">IF(指示書期限管理!A30="","",SUBSTITUTE(SUBSTITUTE(指示書期限管理!A30,"さま",""),"（サンプル）",""))</f>
        <v/>
      </c>
      <c r="B30" s="50" t="str">
        <f aca="false">IF($A30="","",指示書期限管理!G30)</f>
        <v/>
      </c>
      <c r="C30" s="50" t="str">
        <f aca="false">IF($A30="","",IF(指示書期限管理!M30="不要","対象外",IFERROR(VLOOKUP(指示書期限管理!A30,上限額管理表!$A:$N,14,FALSE()),"未登録")))</f>
        <v/>
      </c>
      <c r="D30" s="50" t="str">
        <f aca="false">IF($A30="","",IF(指示書期限管理!L30="医療保険","対象外",IFERROR(IF(LEN(VLOOKUP(指示書期限管理!A30,提供表・ケアプラン突合!$B:$D,3,FALSE()))=0,"未受領","受領済"),"未登録")))</f>
        <v/>
      </c>
      <c r="E30" s="50" t="str">
        <f aca="true">IF($A30="","",IF(指示書期限管理!L30="医療保険","対象外",IFERROR(IF(LEN(VLOOKUP(指示書期限管理!A30,提供表・ケアプラン突合!$B:$I,7,FALSE()))=0,"未登録",IF(VLOOKUP(指示書期限管理!A30,提供表・ケアプラン突合!$B:$I,7,FALSE())&lt;TODAY(),"期限切れ","有効")),"未登録")))</f>
        <v/>
      </c>
      <c r="F30" s="50" t="str">
        <f aca="true">IF($A30="","",IF(指示書期限管理!L30="医療保険","対象外",IFERROR(IF(LEN(VLOOKUP(指示書期限管理!A30,提供表・ケアプラン突合!$B:$I,8,FALSE()))=0,"未登録",IF(VLOOKUP(指示書期限管理!A30,提供表・ケアプラン突合!$B:$I,8,FALSE())&lt;TODAY(),"期限切れ","有効")),"未登録")))</f>
        <v/>
      </c>
    </row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</sheetData>
  <conditionalFormatting sqref="B5:F100">
    <cfRule type="containsText" priority="2" operator="containsText" aboveAverage="0" equalAverage="0" bottom="0" percent="0" rank="0" text="期限切れ" dxfId="5">
      <formula>NOT(ISERROR(SEARCH("期限切れ",B5)))</formula>
    </cfRule>
    <cfRule type="containsText" priority="3" operator="containsText" aboveAverage="0" equalAverage="0" bottom="0" percent="0" rank="0" text="超過" dxfId="5">
      <formula>NOT(ISERROR(SEARCH("超過",B5)))</formula>
    </cfRule>
    <cfRule type="containsText" priority="4" operator="containsText" aboveAverage="0" equalAverage="0" bottom="0" percent="0" rank="0" text="未受領" dxfId="5">
      <formula>NOT(ISERROR(SEARCH("未受領",B5)))</formula>
    </cfRule>
    <cfRule type="containsText" priority="5" operator="containsText" aboveAverage="0" equalAverage="0" bottom="0" percent="0" rank="0" text="要更新" dxfId="5">
      <formula>NOT(ISERROR(SEARCH("要更新",B5)))</formula>
    </cfRule>
    <cfRule type="expression" priority="6" aboveAverage="0" equalAverage="0" bottom="0" percent="0" rank="0" text="" dxfId="6">
      <formula>NOT(ISERROR(SEARCH("対象外",(B5))))</formula>
    </cfRule>
  </conditionalFormatting>
  <conditionalFormatting sqref="B5:F30">
    <cfRule type="expression" priority="7" aboveAverage="0" equalAverage="0" bottom="0" percent="0" rank="0" text="" dxfId="7">
      <formula>B5="対象外"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2026-08-25T09:15:26Z</dcterms:created>
  <dc:creator>openpyxl</dc:creator>
  <dc:description/>
  <dc:language>en-US</dc:language>
  <cp:lastModifiedBy/>
  <dcterms:modified xsi:type="dcterms:W3CDTF">2026-08-26T01:18:43Z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